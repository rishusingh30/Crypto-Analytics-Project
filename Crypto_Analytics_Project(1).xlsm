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4.xml" ContentType="application/vnd.openxmlformats-officedocument.spreadsheetml.table+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drawings/drawing7.xml" ContentType="application/vnd.openxmlformats-officedocument.drawing+xml"/>
  <Override PartName="/xl/slicers/slicer4.xml" ContentType="application/vnd.ms-excel.slicer+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Lenovo\Crypto_Analytics_Python\"/>
    </mc:Choice>
  </mc:AlternateContent>
  <xr:revisionPtr revIDLastSave="0" documentId="13_ncr:1_{815DD51F-311E-4E70-9B92-207B8EFCF5EF}" xr6:coauthVersionLast="47" xr6:coauthVersionMax="47" xr10:uidLastSave="{00000000-0000-0000-0000-000000000000}"/>
  <bookViews>
    <workbookView xWindow="-110" yWindow="-110" windowWidth="19420" windowHeight="10300" firstSheet="5" activeTab="10" xr2:uid="{83AEF5ED-BCC2-4800-B1A2-01243A6B219E}"/>
  </bookViews>
  <sheets>
    <sheet name="Raw Data" sheetId="1" r:id="rId1"/>
    <sheet name="KPIs " sheetId="13" r:id="rId2"/>
    <sheet name="Cleaned Data" sheetId="2" r:id="rId3"/>
    <sheet name="Coin Comparison" sheetId="3" r:id="rId4"/>
    <sheet name="Liquidity Analysis" sheetId="4" r:id="rId5"/>
    <sheet name="PivotTable" sheetId="5" r:id="rId6"/>
    <sheet name="Task 4" sheetId="6" r:id="rId7"/>
    <sheet name="Task 5" sheetId="8" r:id="rId8"/>
    <sheet name="Task 6" sheetId="9" r:id="rId9"/>
    <sheet name="Task6_Pivot" sheetId="10" r:id="rId10"/>
    <sheet name="Dashboard" sheetId="12" r:id="rId11"/>
  </sheets>
  <definedNames>
    <definedName name="Slicer_Price_Category">#N/A</definedName>
    <definedName name="Slicer_Price_Range">#N/A</definedName>
    <definedName name="Slicer_Price_Range1">#N/A</definedName>
  </definedNames>
  <calcPr calcId="191029"/>
  <pivotCaches>
    <pivotCache cacheId="6" r:id="rId12"/>
    <pivotCache cacheId="13"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43" i="12" l="1"/>
  <c r="J43" i="12"/>
  <c r="M6" i="12"/>
  <c r="R2" i="13"/>
  <c r="J3" i="13"/>
  <c r="J4" i="13"/>
  <c r="J5"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85" i="13"/>
  <c r="J86" i="13"/>
  <c r="J87" i="13"/>
  <c r="J88" i="13"/>
  <c r="J89" i="13"/>
  <c r="J90" i="13"/>
  <c r="J91" i="13"/>
  <c r="J92" i="13"/>
  <c r="J93" i="13"/>
  <c r="J94" i="13"/>
  <c r="J95" i="13"/>
  <c r="J96" i="13"/>
  <c r="J97" i="13"/>
  <c r="J98" i="13"/>
  <c r="J99" i="13"/>
  <c r="J100" i="13"/>
  <c r="J101" i="13"/>
  <c r="J102" i="13"/>
  <c r="J103" i="13"/>
  <c r="J104" i="13"/>
  <c r="J105" i="13"/>
  <c r="J106" i="13"/>
  <c r="J107" i="13"/>
  <c r="J108" i="13"/>
  <c r="J109" i="13"/>
  <c r="J110" i="13"/>
  <c r="J111" i="13"/>
  <c r="J112" i="13"/>
  <c r="J113" i="13"/>
  <c r="J114" i="13"/>
  <c r="J115" i="13"/>
  <c r="J116" i="13"/>
  <c r="J117" i="13"/>
  <c r="J118" i="13"/>
  <c r="J119" i="13"/>
  <c r="J120" i="13"/>
  <c r="J121" i="13"/>
  <c r="J122" i="13"/>
  <c r="J123" i="13"/>
  <c r="J124" i="13"/>
  <c r="J125" i="13"/>
  <c r="J126" i="13"/>
  <c r="J127" i="13"/>
  <c r="J128" i="13"/>
  <c r="J129" i="13"/>
  <c r="J130" i="13"/>
  <c r="J131" i="13"/>
  <c r="J132" i="13"/>
  <c r="J133" i="13"/>
  <c r="J134" i="13"/>
  <c r="J135" i="13"/>
  <c r="J136" i="13"/>
  <c r="J137" i="13"/>
  <c r="J138" i="13"/>
  <c r="J139" i="13"/>
  <c r="J140" i="13"/>
  <c r="J141" i="13"/>
  <c r="J142" i="13"/>
  <c r="J143" i="13"/>
  <c r="J144" i="13"/>
  <c r="J145" i="13"/>
  <c r="J146" i="13"/>
  <c r="J147" i="13"/>
  <c r="J148" i="13"/>
  <c r="J149" i="13"/>
  <c r="J150" i="13"/>
  <c r="J151" i="13"/>
  <c r="J152" i="13"/>
  <c r="J153" i="13"/>
  <c r="J154" i="13"/>
  <c r="J155" i="13"/>
  <c r="J156" i="13"/>
  <c r="J157" i="13"/>
  <c r="J158" i="13"/>
  <c r="J159" i="13"/>
  <c r="J160" i="13"/>
  <c r="J161" i="13"/>
  <c r="J162" i="13"/>
  <c r="J163" i="13"/>
  <c r="J164" i="13"/>
  <c r="J165" i="13"/>
  <c r="J166" i="13"/>
  <c r="J167" i="13"/>
  <c r="J168" i="13"/>
  <c r="J169" i="13"/>
  <c r="J170" i="13"/>
  <c r="J171" i="13"/>
  <c r="J172" i="13"/>
  <c r="J173" i="13"/>
  <c r="J174" i="13"/>
  <c r="J175" i="13"/>
  <c r="J176" i="13"/>
  <c r="J177" i="13"/>
  <c r="J178" i="13"/>
  <c r="J179" i="13"/>
  <c r="J180" i="13"/>
  <c r="J181" i="13"/>
  <c r="J182" i="13"/>
  <c r="J183" i="13"/>
  <c r="J184" i="13"/>
  <c r="J185" i="13"/>
  <c r="J186" i="13"/>
  <c r="J187" i="13"/>
  <c r="J188" i="13"/>
  <c r="J189" i="13"/>
  <c r="J190" i="13"/>
  <c r="J191" i="13"/>
  <c r="J192" i="13"/>
  <c r="J193" i="13"/>
  <c r="J194" i="13"/>
  <c r="J195" i="13"/>
  <c r="J196" i="13"/>
  <c r="J197" i="13"/>
  <c r="J198" i="13"/>
  <c r="J199" i="13"/>
  <c r="J200" i="13"/>
  <c r="J201" i="13"/>
  <c r="J2" i="13"/>
  <c r="H2"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 i="13"/>
  <c r="Q2" i="13"/>
  <c r="P2" i="13"/>
  <c r="O2" i="13"/>
  <c r="D6" i="12" s="1"/>
  <c r="N2" i="13"/>
  <c r="J6" i="12"/>
  <c r="G6" i="12"/>
  <c r="A6" i="12"/>
  <c r="M2" i="9"/>
  <c r="L2" i="9"/>
  <c r="K2" i="9"/>
  <c r="H43" i="12" s="1"/>
  <c r="J2" i="9"/>
  <c r="F43" i="12" s="1"/>
  <c r="I2" i="9"/>
  <c r="D43" i="12" s="1"/>
  <c r="G18" i="6"/>
  <c r="G34" i="6"/>
  <c r="G50" i="6"/>
  <c r="G66" i="6"/>
  <c r="G82" i="6"/>
  <c r="G98" i="6"/>
  <c r="G114" i="6"/>
  <c r="G130" i="6"/>
  <c r="G146" i="6"/>
  <c r="G162" i="6"/>
  <c r="G178" i="6"/>
  <c r="G194" i="6"/>
  <c r="E10" i="6"/>
  <c r="F10" i="6" s="1"/>
  <c r="E26" i="6"/>
  <c r="F26" i="6" s="1"/>
  <c r="E42" i="6"/>
  <c r="F42" i="6" s="1"/>
  <c r="E82" i="6"/>
  <c r="F82" i="6" s="1"/>
  <c r="E86" i="6"/>
  <c r="F86" i="6" s="1"/>
  <c r="E87" i="6"/>
  <c r="F87" i="6" s="1"/>
  <c r="E98" i="6"/>
  <c r="F98" i="6" s="1"/>
  <c r="E110" i="6"/>
  <c r="F110" i="6" s="1"/>
  <c r="E111" i="6"/>
  <c r="F111" i="6" s="1"/>
  <c r="E112" i="6"/>
  <c r="F112" i="6" s="1"/>
  <c r="E122" i="6"/>
  <c r="F122" i="6" s="1"/>
  <c r="E126" i="6"/>
  <c r="F126" i="6" s="1"/>
  <c r="E146" i="6"/>
  <c r="F146" i="6" s="1"/>
  <c r="E150" i="6"/>
  <c r="F150" i="6" s="1"/>
  <c r="E151" i="6"/>
  <c r="F151" i="6" s="1"/>
  <c r="E162" i="6"/>
  <c r="F162" i="6" s="1"/>
  <c r="E174" i="6"/>
  <c r="F174" i="6" s="1"/>
  <c r="E175" i="6"/>
  <c r="F175" i="6" s="1"/>
  <c r="E176" i="6"/>
  <c r="F176" i="6" s="1"/>
  <c r="E186" i="6"/>
  <c r="F186" i="6" s="1"/>
  <c r="E190" i="6"/>
  <c r="F190" i="6" s="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 i="6"/>
  <c r="C3" i="6"/>
  <c r="G3" i="6" s="1"/>
  <c r="C4" i="6"/>
  <c r="G4" i="6" s="1"/>
  <c r="C5" i="6"/>
  <c r="G5" i="6" s="1"/>
  <c r="C6" i="6"/>
  <c r="C7" i="6"/>
  <c r="G7" i="6" s="1"/>
  <c r="C8" i="6"/>
  <c r="G8" i="6" s="1"/>
  <c r="C9" i="6"/>
  <c r="G9" i="6" s="1"/>
  <c r="C10" i="6"/>
  <c r="G10" i="6" s="1"/>
  <c r="C11" i="6"/>
  <c r="G11" i="6" s="1"/>
  <c r="C12" i="6"/>
  <c r="G12" i="6" s="1"/>
  <c r="C13" i="6"/>
  <c r="G13" i="6" s="1"/>
  <c r="C14" i="6"/>
  <c r="C15" i="6"/>
  <c r="E15" i="6" s="1"/>
  <c r="F15" i="6" s="1"/>
  <c r="C16" i="6"/>
  <c r="E16" i="6" s="1"/>
  <c r="F16" i="6" s="1"/>
  <c r="C17" i="6"/>
  <c r="E17" i="6" s="1"/>
  <c r="F17" i="6" s="1"/>
  <c r="C18" i="6"/>
  <c r="E18" i="6" s="1"/>
  <c r="F18" i="6" s="1"/>
  <c r="C19" i="6"/>
  <c r="G19" i="6" s="1"/>
  <c r="C20" i="6"/>
  <c r="G20" i="6" s="1"/>
  <c r="C21" i="6"/>
  <c r="G21" i="6" s="1"/>
  <c r="C22" i="6"/>
  <c r="C23" i="6"/>
  <c r="G23" i="6" s="1"/>
  <c r="C24" i="6"/>
  <c r="G24" i="6" s="1"/>
  <c r="C25" i="6"/>
  <c r="G25" i="6" s="1"/>
  <c r="C26" i="6"/>
  <c r="G26" i="6" s="1"/>
  <c r="C27" i="6"/>
  <c r="G27" i="6" s="1"/>
  <c r="C28" i="6"/>
  <c r="G28" i="6" s="1"/>
  <c r="C29" i="6"/>
  <c r="G29" i="6" s="1"/>
  <c r="C30" i="6"/>
  <c r="C31" i="6"/>
  <c r="E31" i="6" s="1"/>
  <c r="F31" i="6" s="1"/>
  <c r="C32" i="6"/>
  <c r="E32" i="6" s="1"/>
  <c r="F32" i="6" s="1"/>
  <c r="C33" i="6"/>
  <c r="G33" i="6" s="1"/>
  <c r="C34" i="6"/>
  <c r="E34" i="6" s="1"/>
  <c r="F34" i="6" s="1"/>
  <c r="C35" i="6"/>
  <c r="G35" i="6" s="1"/>
  <c r="C36" i="6"/>
  <c r="G36" i="6" s="1"/>
  <c r="C37" i="6"/>
  <c r="G37" i="6" s="1"/>
  <c r="C38" i="6"/>
  <c r="C39" i="6"/>
  <c r="G39" i="6" s="1"/>
  <c r="C40" i="6"/>
  <c r="G40" i="6" s="1"/>
  <c r="C41" i="6"/>
  <c r="G41" i="6" s="1"/>
  <c r="C42" i="6"/>
  <c r="G42" i="6" s="1"/>
  <c r="C43" i="6"/>
  <c r="G43" i="6" s="1"/>
  <c r="C44" i="6"/>
  <c r="G44" i="6" s="1"/>
  <c r="C45" i="6"/>
  <c r="G45" i="6" s="1"/>
  <c r="C46" i="6"/>
  <c r="C47" i="6"/>
  <c r="E47" i="6" s="1"/>
  <c r="F47" i="6" s="1"/>
  <c r="C48" i="6"/>
  <c r="E48" i="6" s="1"/>
  <c r="F48" i="6" s="1"/>
  <c r="C49" i="6"/>
  <c r="G49" i="6" s="1"/>
  <c r="C50" i="6"/>
  <c r="E50" i="6" s="1"/>
  <c r="F50" i="6" s="1"/>
  <c r="C51" i="6"/>
  <c r="G51" i="6" s="1"/>
  <c r="C52" i="6"/>
  <c r="G52" i="6" s="1"/>
  <c r="C53" i="6"/>
  <c r="G53" i="6" s="1"/>
  <c r="C54" i="6"/>
  <c r="G54" i="6" s="1"/>
  <c r="C55" i="6"/>
  <c r="G55" i="6" s="1"/>
  <c r="C56" i="6"/>
  <c r="G56" i="6" s="1"/>
  <c r="C57" i="6"/>
  <c r="E57" i="6" s="1"/>
  <c r="F57" i="6" s="1"/>
  <c r="C58" i="6"/>
  <c r="E58" i="6" s="1"/>
  <c r="F58" i="6" s="1"/>
  <c r="C59" i="6"/>
  <c r="G59" i="6" s="1"/>
  <c r="C60" i="6"/>
  <c r="G60" i="6" s="1"/>
  <c r="C61" i="6"/>
  <c r="G61" i="6" s="1"/>
  <c r="C62" i="6"/>
  <c r="C63" i="6"/>
  <c r="E63" i="6" s="1"/>
  <c r="F63" i="6" s="1"/>
  <c r="C64" i="6"/>
  <c r="E64" i="6" s="1"/>
  <c r="F64" i="6" s="1"/>
  <c r="C65" i="6"/>
  <c r="G65" i="6" s="1"/>
  <c r="C66" i="6"/>
  <c r="E66" i="6" s="1"/>
  <c r="F66" i="6" s="1"/>
  <c r="C67" i="6"/>
  <c r="G67" i="6" s="1"/>
  <c r="C68" i="6"/>
  <c r="G68" i="6" s="1"/>
  <c r="C69" i="6"/>
  <c r="G69" i="6" s="1"/>
  <c r="C70" i="6"/>
  <c r="C71" i="6"/>
  <c r="G71" i="6" s="1"/>
  <c r="C72" i="6"/>
  <c r="G72" i="6" s="1"/>
  <c r="C73" i="6"/>
  <c r="G73" i="6" s="1"/>
  <c r="C74" i="6"/>
  <c r="E74" i="6" s="1"/>
  <c r="F74" i="6" s="1"/>
  <c r="C75" i="6"/>
  <c r="G75" i="6" s="1"/>
  <c r="C76" i="6"/>
  <c r="G76" i="6" s="1"/>
  <c r="C77" i="6"/>
  <c r="G77" i="6" s="1"/>
  <c r="C78" i="6"/>
  <c r="G78" i="6" s="1"/>
  <c r="C79" i="6"/>
  <c r="E79" i="6" s="1"/>
  <c r="F79" i="6" s="1"/>
  <c r="C80" i="6"/>
  <c r="E80" i="6" s="1"/>
  <c r="F80" i="6" s="1"/>
  <c r="C81" i="6"/>
  <c r="E81" i="6" s="1"/>
  <c r="F81" i="6" s="1"/>
  <c r="C82" i="6"/>
  <c r="C83" i="6"/>
  <c r="G83" i="6" s="1"/>
  <c r="C84" i="6"/>
  <c r="G84" i="6" s="1"/>
  <c r="C85" i="6"/>
  <c r="G85" i="6" s="1"/>
  <c r="C86" i="6"/>
  <c r="G86" i="6" s="1"/>
  <c r="C87" i="6"/>
  <c r="G87" i="6" s="1"/>
  <c r="C88" i="6"/>
  <c r="E88" i="6" s="1"/>
  <c r="F88" i="6" s="1"/>
  <c r="C89" i="6"/>
  <c r="E89" i="6" s="1"/>
  <c r="F89" i="6" s="1"/>
  <c r="C90" i="6"/>
  <c r="E90" i="6" s="1"/>
  <c r="F90" i="6" s="1"/>
  <c r="C91" i="6"/>
  <c r="G91" i="6" s="1"/>
  <c r="C92" i="6"/>
  <c r="G92" i="6" s="1"/>
  <c r="C93" i="6"/>
  <c r="G93" i="6" s="1"/>
  <c r="C94" i="6"/>
  <c r="G94" i="6" s="1"/>
  <c r="C95" i="6"/>
  <c r="G95" i="6" s="1"/>
  <c r="C96" i="6"/>
  <c r="G96" i="6" s="1"/>
  <c r="C97" i="6"/>
  <c r="G97" i="6" s="1"/>
  <c r="C98" i="6"/>
  <c r="C99" i="6"/>
  <c r="G99" i="6" s="1"/>
  <c r="C100" i="6"/>
  <c r="G100" i="6" s="1"/>
  <c r="C101" i="6"/>
  <c r="G101" i="6" s="1"/>
  <c r="C102" i="6"/>
  <c r="G102" i="6" s="1"/>
  <c r="C103" i="6"/>
  <c r="G103" i="6" s="1"/>
  <c r="C104" i="6"/>
  <c r="G104" i="6" s="1"/>
  <c r="C105" i="6"/>
  <c r="G105" i="6" s="1"/>
  <c r="C106" i="6"/>
  <c r="E106" i="6" s="1"/>
  <c r="F106" i="6" s="1"/>
  <c r="C107" i="6"/>
  <c r="G107" i="6" s="1"/>
  <c r="C108" i="6"/>
  <c r="G108" i="6" s="1"/>
  <c r="C109" i="6"/>
  <c r="G109" i="6" s="1"/>
  <c r="C110" i="6"/>
  <c r="G110" i="6" s="1"/>
  <c r="C111" i="6"/>
  <c r="G111" i="6" s="1"/>
  <c r="C112" i="6"/>
  <c r="G112" i="6" s="1"/>
  <c r="C113" i="6"/>
  <c r="E113" i="6" s="1"/>
  <c r="F113" i="6" s="1"/>
  <c r="C114" i="6"/>
  <c r="E114" i="6" s="1"/>
  <c r="F114" i="6" s="1"/>
  <c r="C115" i="6"/>
  <c r="G115" i="6" s="1"/>
  <c r="C116" i="6"/>
  <c r="G116" i="6" s="1"/>
  <c r="C117" i="6"/>
  <c r="G117" i="6" s="1"/>
  <c r="C118" i="6"/>
  <c r="G118" i="6" s="1"/>
  <c r="C119" i="6"/>
  <c r="G119" i="6" s="1"/>
  <c r="C120" i="6"/>
  <c r="G120" i="6" s="1"/>
  <c r="C121" i="6"/>
  <c r="G121" i="6" s="1"/>
  <c r="C122" i="6"/>
  <c r="G122" i="6" s="1"/>
  <c r="C123" i="6"/>
  <c r="G123" i="6" s="1"/>
  <c r="C124" i="6"/>
  <c r="G124" i="6" s="1"/>
  <c r="C125" i="6"/>
  <c r="G125" i="6" s="1"/>
  <c r="C126" i="6"/>
  <c r="G126" i="6" s="1"/>
  <c r="C127" i="6"/>
  <c r="E127" i="6" s="1"/>
  <c r="F127" i="6" s="1"/>
  <c r="C128" i="6"/>
  <c r="E128" i="6" s="1"/>
  <c r="F128" i="6" s="1"/>
  <c r="C129" i="6"/>
  <c r="E129" i="6" s="1"/>
  <c r="F129" i="6" s="1"/>
  <c r="C130" i="6"/>
  <c r="E130" i="6" s="1"/>
  <c r="F130" i="6" s="1"/>
  <c r="C131" i="6"/>
  <c r="G131" i="6" s="1"/>
  <c r="C132" i="6"/>
  <c r="G132" i="6" s="1"/>
  <c r="C133" i="6"/>
  <c r="G133" i="6" s="1"/>
  <c r="C134" i="6"/>
  <c r="G134" i="6" s="1"/>
  <c r="C135" i="6"/>
  <c r="G135" i="6" s="1"/>
  <c r="C136" i="6"/>
  <c r="G136" i="6" s="1"/>
  <c r="C137" i="6"/>
  <c r="G137" i="6" s="1"/>
  <c r="C138" i="6"/>
  <c r="E138" i="6" s="1"/>
  <c r="F138" i="6" s="1"/>
  <c r="C139" i="6"/>
  <c r="G139" i="6" s="1"/>
  <c r="C140" i="6"/>
  <c r="G140" i="6" s="1"/>
  <c r="C141" i="6"/>
  <c r="G141" i="6" s="1"/>
  <c r="C142" i="6"/>
  <c r="G142" i="6" s="1"/>
  <c r="C143" i="6"/>
  <c r="E143" i="6" s="1"/>
  <c r="F143" i="6" s="1"/>
  <c r="C144" i="6"/>
  <c r="E144" i="6" s="1"/>
  <c r="F144" i="6" s="1"/>
  <c r="C145" i="6"/>
  <c r="G145" i="6" s="1"/>
  <c r="C146" i="6"/>
  <c r="C147" i="6"/>
  <c r="G147" i="6" s="1"/>
  <c r="C148" i="6"/>
  <c r="G148" i="6" s="1"/>
  <c r="C149" i="6"/>
  <c r="G149" i="6" s="1"/>
  <c r="C150" i="6"/>
  <c r="G150" i="6" s="1"/>
  <c r="C151" i="6"/>
  <c r="G151" i="6" s="1"/>
  <c r="C152" i="6"/>
  <c r="E152" i="6" s="1"/>
  <c r="F152" i="6" s="1"/>
  <c r="C153" i="6"/>
  <c r="E153" i="6" s="1"/>
  <c r="F153" i="6" s="1"/>
  <c r="C154" i="6"/>
  <c r="E154" i="6" s="1"/>
  <c r="F154" i="6" s="1"/>
  <c r="C155" i="6"/>
  <c r="G155" i="6" s="1"/>
  <c r="C156" i="6"/>
  <c r="G156" i="6" s="1"/>
  <c r="C157" i="6"/>
  <c r="G157" i="6" s="1"/>
  <c r="C158" i="6"/>
  <c r="G158" i="6" s="1"/>
  <c r="C159" i="6"/>
  <c r="G159" i="6" s="1"/>
  <c r="C160" i="6"/>
  <c r="G160" i="6" s="1"/>
  <c r="C161" i="6"/>
  <c r="G161" i="6" s="1"/>
  <c r="C162" i="6"/>
  <c r="C163" i="6"/>
  <c r="G163" i="6" s="1"/>
  <c r="C164" i="6"/>
  <c r="G164" i="6" s="1"/>
  <c r="C165" i="6"/>
  <c r="G165" i="6" s="1"/>
  <c r="C166" i="6"/>
  <c r="G166" i="6" s="1"/>
  <c r="C167" i="6"/>
  <c r="G167" i="6" s="1"/>
  <c r="C168" i="6"/>
  <c r="G168" i="6" s="1"/>
  <c r="C169" i="6"/>
  <c r="G169" i="6" s="1"/>
  <c r="C170" i="6"/>
  <c r="E170" i="6" s="1"/>
  <c r="F170" i="6" s="1"/>
  <c r="C171" i="6"/>
  <c r="G171" i="6" s="1"/>
  <c r="C172" i="6"/>
  <c r="G172" i="6" s="1"/>
  <c r="C173" i="6"/>
  <c r="G173" i="6" s="1"/>
  <c r="C174" i="6"/>
  <c r="G174" i="6" s="1"/>
  <c r="C175" i="6"/>
  <c r="G175" i="6" s="1"/>
  <c r="C176" i="6"/>
  <c r="G176" i="6" s="1"/>
  <c r="C177" i="6"/>
  <c r="E177" i="6" s="1"/>
  <c r="F177" i="6" s="1"/>
  <c r="C178" i="6"/>
  <c r="E178" i="6" s="1"/>
  <c r="F178" i="6" s="1"/>
  <c r="C179" i="6"/>
  <c r="G179" i="6" s="1"/>
  <c r="C180" i="6"/>
  <c r="G180" i="6" s="1"/>
  <c r="C181" i="6"/>
  <c r="G181" i="6" s="1"/>
  <c r="C182" i="6"/>
  <c r="G182" i="6" s="1"/>
  <c r="C183" i="6"/>
  <c r="G183" i="6" s="1"/>
  <c r="C184" i="6"/>
  <c r="G184" i="6" s="1"/>
  <c r="C185" i="6"/>
  <c r="G185" i="6" s="1"/>
  <c r="C186" i="6"/>
  <c r="G186" i="6" s="1"/>
  <c r="C187" i="6"/>
  <c r="G187" i="6" s="1"/>
  <c r="C188" i="6"/>
  <c r="G188" i="6" s="1"/>
  <c r="C189" i="6"/>
  <c r="G189" i="6" s="1"/>
  <c r="C190" i="6"/>
  <c r="G190" i="6" s="1"/>
  <c r="C191" i="6"/>
  <c r="E191" i="6" s="1"/>
  <c r="F191" i="6" s="1"/>
  <c r="C192" i="6"/>
  <c r="E192" i="6" s="1"/>
  <c r="F192" i="6" s="1"/>
  <c r="C193" i="6"/>
  <c r="E193" i="6" s="1"/>
  <c r="F193" i="6" s="1"/>
  <c r="C194" i="6"/>
  <c r="E194" i="6" s="1"/>
  <c r="F194" i="6" s="1"/>
  <c r="C195" i="6"/>
  <c r="G195" i="6" s="1"/>
  <c r="C196" i="6"/>
  <c r="G196" i="6" s="1"/>
  <c r="C197" i="6"/>
  <c r="G197" i="6" s="1"/>
  <c r="C198" i="6"/>
  <c r="G198" i="6" s="1"/>
  <c r="C199" i="6"/>
  <c r="G199" i="6" s="1"/>
  <c r="C200" i="6"/>
  <c r="G200" i="6" s="1"/>
  <c r="C201" i="6"/>
  <c r="G201" i="6" s="1"/>
  <c r="C2" i="6"/>
  <c r="E2" i="6" s="1"/>
  <c r="F2" i="6" s="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 i="6"/>
  <c r="J78" i="2"/>
  <c r="J57" i="2"/>
  <c r="J42" i="2"/>
  <c r="J20" i="2"/>
  <c r="J11" i="2"/>
  <c r="J10" i="2"/>
  <c r="J8" i="2"/>
  <c r="J6" i="2"/>
  <c r="J3" i="2"/>
  <c r="J2" i="2"/>
  <c r="J4" i="2"/>
  <c r="J5" i="2"/>
  <c r="J7" i="2"/>
  <c r="J9" i="2"/>
  <c r="J12" i="2"/>
  <c r="J13" i="2"/>
  <c r="J14" i="2"/>
  <c r="J15" i="2"/>
  <c r="J16" i="2"/>
  <c r="J17" i="2"/>
  <c r="J18" i="2"/>
  <c r="J19" i="2"/>
  <c r="J21" i="2"/>
  <c r="J22" i="2"/>
  <c r="J23" i="2"/>
  <c r="J24" i="2"/>
  <c r="J25" i="2"/>
  <c r="J26" i="2"/>
  <c r="J27" i="2"/>
  <c r="J28" i="2"/>
  <c r="J29" i="2"/>
  <c r="J30" i="2"/>
  <c r="J31" i="2"/>
  <c r="J32" i="2"/>
  <c r="J33" i="2"/>
  <c r="J34" i="2"/>
  <c r="J35" i="2"/>
  <c r="J36" i="2"/>
  <c r="J37" i="2"/>
  <c r="J38" i="2"/>
  <c r="J39" i="2"/>
  <c r="J40" i="2"/>
  <c r="J41" i="2"/>
  <c r="J43" i="2"/>
  <c r="J44" i="2"/>
  <c r="J45" i="2"/>
  <c r="J46" i="2"/>
  <c r="J47" i="2"/>
  <c r="J48" i="2"/>
  <c r="J49" i="2"/>
  <c r="J50" i="2"/>
  <c r="J51" i="2"/>
  <c r="J52" i="2"/>
  <c r="J53" i="2"/>
  <c r="J54" i="2"/>
  <c r="J55" i="2"/>
  <c r="J56" i="2"/>
  <c r="J58" i="2"/>
  <c r="J59" i="2"/>
  <c r="J60" i="2"/>
  <c r="J61" i="2"/>
  <c r="J62" i="2"/>
  <c r="J63" i="2"/>
  <c r="J64" i="2"/>
  <c r="J65" i="2"/>
  <c r="J66" i="2"/>
  <c r="J67" i="2"/>
  <c r="J68" i="2"/>
  <c r="J69" i="2"/>
  <c r="J70" i="2"/>
  <c r="J71" i="2"/>
  <c r="J72" i="2"/>
  <c r="J73" i="2"/>
  <c r="J74" i="2"/>
  <c r="J75" i="2"/>
  <c r="J76" i="2"/>
  <c r="J77"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C3" i="4"/>
  <c r="C4" i="4"/>
  <c r="C5" i="4"/>
  <c r="C6" i="4"/>
  <c r="C7" i="4"/>
  <c r="C8" i="4"/>
  <c r="C9" i="4"/>
  <c r="C10" i="4"/>
  <c r="C11" i="4"/>
  <c r="C12" i="4"/>
  <c r="C13" i="4"/>
  <c r="C2" i="4"/>
  <c r="B3" i="4"/>
  <c r="D3" i="4" s="1"/>
  <c r="B4" i="4"/>
  <c r="D4" i="4" s="1"/>
  <c r="B5" i="4"/>
  <c r="D5" i="4" s="1"/>
  <c r="B6" i="4"/>
  <c r="D6" i="4" s="1"/>
  <c r="B7" i="4"/>
  <c r="D7" i="4" s="1"/>
  <c r="B8" i="4"/>
  <c r="D8" i="4" s="1"/>
  <c r="B9" i="4"/>
  <c r="D9" i="4" s="1"/>
  <c r="B10" i="4"/>
  <c r="D10" i="4" s="1"/>
  <c r="B11" i="4"/>
  <c r="D11" i="4" s="1"/>
  <c r="B12" i="4"/>
  <c r="D12" i="4" s="1"/>
  <c r="B13" i="4"/>
  <c r="D13" i="4" s="1"/>
  <c r="B2" i="4"/>
  <c r="D2" i="4" s="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2" i="2"/>
  <c r="K191" i="2"/>
  <c r="K192" i="2"/>
  <c r="K193" i="2"/>
  <c r="K194" i="2"/>
  <c r="K195" i="2"/>
  <c r="K196" i="2"/>
  <c r="K197" i="2"/>
  <c r="K198" i="2"/>
  <c r="K199" i="2"/>
  <c r="K200" i="2"/>
  <c r="K201" i="2"/>
  <c r="C7" i="3"/>
  <c r="C6" i="3"/>
  <c r="C5" i="3"/>
  <c r="C4" i="3"/>
  <c r="C3" i="3"/>
  <c r="B7" i="3"/>
  <c r="B6" i="3"/>
  <c r="B5" i="3"/>
  <c r="B4" i="3"/>
  <c r="B3" i="3"/>
  <c r="H3" i="2"/>
  <c r="H4" i="2"/>
  <c r="I4" i="2" s="1"/>
  <c r="H5" i="2"/>
  <c r="I5" i="2" s="1"/>
  <c r="H6" i="2"/>
  <c r="I6" i="2" s="1"/>
  <c r="H7" i="2"/>
  <c r="I7" i="2" s="1"/>
  <c r="H8" i="2"/>
  <c r="H9" i="2"/>
  <c r="I9" i="2" s="1"/>
  <c r="H10" i="2"/>
  <c r="H11" i="2"/>
  <c r="I11" i="2" s="1"/>
  <c r="H12" i="2"/>
  <c r="I12" i="2" s="1"/>
  <c r="H13" i="2"/>
  <c r="H14" i="2"/>
  <c r="H15" i="2"/>
  <c r="H16" i="2"/>
  <c r="I16" i="2" s="1"/>
  <c r="H17" i="2"/>
  <c r="I17" i="2" s="1"/>
  <c r="H18" i="2"/>
  <c r="I18" i="2" s="1"/>
  <c r="H19" i="2"/>
  <c r="I19" i="2" s="1"/>
  <c r="H20" i="2"/>
  <c r="H21" i="2"/>
  <c r="H22" i="2"/>
  <c r="I22" i="2" s="1"/>
  <c r="H23" i="2"/>
  <c r="I23" i="2" s="1"/>
  <c r="H24" i="2"/>
  <c r="I24" i="2" s="1"/>
  <c r="H25" i="2"/>
  <c r="I25" i="2" s="1"/>
  <c r="H26" i="2"/>
  <c r="H27" i="2"/>
  <c r="H28" i="2"/>
  <c r="I28" i="2" s="1"/>
  <c r="H29" i="2"/>
  <c r="I29" i="2" s="1"/>
  <c r="H30" i="2"/>
  <c r="H31" i="2"/>
  <c r="H32" i="2"/>
  <c r="H33" i="2"/>
  <c r="I33" i="2" s="1"/>
  <c r="H34" i="2"/>
  <c r="I34" i="2" s="1"/>
  <c r="H35" i="2"/>
  <c r="H36" i="2"/>
  <c r="I36" i="2" s="1"/>
  <c r="H37" i="2"/>
  <c r="H38" i="2"/>
  <c r="H39" i="2"/>
  <c r="H40" i="2"/>
  <c r="I40" i="2" s="1"/>
  <c r="H41" i="2"/>
  <c r="I41" i="2" s="1"/>
  <c r="H42" i="2"/>
  <c r="H43" i="2"/>
  <c r="H44" i="2"/>
  <c r="I44" i="2" s="1"/>
  <c r="H45" i="2"/>
  <c r="I45" i="2" s="1"/>
  <c r="H46" i="2"/>
  <c r="H47" i="2"/>
  <c r="H48" i="2"/>
  <c r="H49" i="2"/>
  <c r="H50" i="2"/>
  <c r="I50" i="2" s="1"/>
  <c r="H51" i="2"/>
  <c r="I51" i="2" s="1"/>
  <c r="H52" i="2"/>
  <c r="I52" i="2" s="1"/>
  <c r="H53" i="2"/>
  <c r="I53" i="2" s="1"/>
  <c r="H54" i="2"/>
  <c r="H55" i="2"/>
  <c r="I55" i="2" s="1"/>
  <c r="H56" i="2"/>
  <c r="I56" i="2" s="1"/>
  <c r="H57" i="2"/>
  <c r="H58" i="2"/>
  <c r="H59" i="2"/>
  <c r="I59" i="2" s="1"/>
  <c r="H60" i="2"/>
  <c r="H61" i="2"/>
  <c r="H62" i="2"/>
  <c r="I62" i="2" s="1"/>
  <c r="H63" i="2"/>
  <c r="I63" i="2" s="1"/>
  <c r="H64" i="2"/>
  <c r="H65" i="2"/>
  <c r="H66" i="2"/>
  <c r="I66" i="2" s="1"/>
  <c r="H67" i="2"/>
  <c r="H68" i="2"/>
  <c r="H69" i="2"/>
  <c r="I69" i="2" s="1"/>
  <c r="H70" i="2"/>
  <c r="I70" i="2" s="1"/>
  <c r="H71" i="2"/>
  <c r="H72" i="2"/>
  <c r="I72" i="2" s="1"/>
  <c r="H73" i="2"/>
  <c r="I73" i="2" s="1"/>
  <c r="H74" i="2"/>
  <c r="H75" i="2"/>
  <c r="I75" i="2" s="1"/>
  <c r="H76" i="2"/>
  <c r="I76" i="2" s="1"/>
  <c r="H77" i="2"/>
  <c r="I77" i="2" s="1"/>
  <c r="H78" i="2"/>
  <c r="H79" i="2"/>
  <c r="H80" i="2"/>
  <c r="H81" i="2"/>
  <c r="I81" i="2" s="1"/>
  <c r="H82" i="2"/>
  <c r="I82" i="2" s="1"/>
  <c r="H83" i="2"/>
  <c r="I83" i="2" s="1"/>
  <c r="H84" i="2"/>
  <c r="I84" i="2" s="1"/>
  <c r="H85" i="2"/>
  <c r="H86" i="2"/>
  <c r="H87" i="2"/>
  <c r="H88" i="2"/>
  <c r="I88" i="2" s="1"/>
  <c r="H89" i="2"/>
  <c r="I89" i="2" s="1"/>
  <c r="H90" i="2"/>
  <c r="H91" i="2"/>
  <c r="H92" i="2"/>
  <c r="I92" i="2" s="1"/>
  <c r="H93" i="2"/>
  <c r="I93" i="2" s="1"/>
  <c r="H94" i="2"/>
  <c r="H95" i="2"/>
  <c r="H96" i="2"/>
  <c r="H97" i="2"/>
  <c r="I97" i="2" s="1"/>
  <c r="H98" i="2"/>
  <c r="H99" i="2"/>
  <c r="H100" i="2"/>
  <c r="H101" i="2"/>
  <c r="I101" i="2" s="1"/>
  <c r="H102" i="2"/>
  <c r="H103" i="2"/>
  <c r="H104" i="2"/>
  <c r="H105" i="2"/>
  <c r="H106" i="2"/>
  <c r="I106" i="2" s="1"/>
  <c r="H107" i="2"/>
  <c r="I107" i="2" s="1"/>
  <c r="H108" i="2"/>
  <c r="I108" i="2" s="1"/>
  <c r="H109" i="2"/>
  <c r="H110" i="2"/>
  <c r="H111" i="2"/>
  <c r="H112" i="2"/>
  <c r="H113" i="2"/>
  <c r="H114" i="2"/>
  <c r="H115" i="2"/>
  <c r="I115" i="2" s="1"/>
  <c r="H116" i="2"/>
  <c r="H117" i="2"/>
  <c r="I117" i="2" s="1"/>
  <c r="H118" i="2"/>
  <c r="H119" i="2"/>
  <c r="H120" i="2"/>
  <c r="I120" i="2" s="1"/>
  <c r="H121" i="2"/>
  <c r="I121" i="2" s="1"/>
  <c r="H122" i="2"/>
  <c r="I122" i="2" s="1"/>
  <c r="H123" i="2"/>
  <c r="I123" i="2" s="1"/>
  <c r="H124" i="2"/>
  <c r="H125" i="2"/>
  <c r="I125" i="2" s="1"/>
  <c r="H126" i="2"/>
  <c r="H127" i="2"/>
  <c r="I127" i="2" s="1"/>
  <c r="H128" i="2"/>
  <c r="I128" i="2" s="1"/>
  <c r="H129" i="2"/>
  <c r="I129" i="2" s="1"/>
  <c r="H130" i="2"/>
  <c r="H131" i="2"/>
  <c r="H132" i="2"/>
  <c r="I132" i="2" s="1"/>
  <c r="H133" i="2"/>
  <c r="H134" i="2"/>
  <c r="I134" i="2" s="1"/>
  <c r="H135" i="2"/>
  <c r="H136" i="2"/>
  <c r="H137" i="2"/>
  <c r="I137" i="2" s="1"/>
  <c r="H138" i="2"/>
  <c r="H139" i="2"/>
  <c r="H140" i="2"/>
  <c r="I140" i="2" s="1"/>
  <c r="H141" i="2"/>
  <c r="H142" i="2"/>
  <c r="H143" i="2"/>
  <c r="I143" i="2" s="1"/>
  <c r="H144" i="2"/>
  <c r="I144" i="2" s="1"/>
  <c r="H145" i="2"/>
  <c r="I145" i="2" s="1"/>
  <c r="H146" i="2"/>
  <c r="I146" i="2" s="1"/>
  <c r="H147" i="2"/>
  <c r="I147" i="2" s="1"/>
  <c r="H148" i="2"/>
  <c r="H149" i="2"/>
  <c r="H150" i="2"/>
  <c r="I150" i="2" s="1"/>
  <c r="H151" i="2"/>
  <c r="H152" i="2"/>
  <c r="H153" i="2"/>
  <c r="H154" i="2"/>
  <c r="H155" i="2"/>
  <c r="H156" i="2"/>
  <c r="H157" i="2"/>
  <c r="H158" i="2"/>
  <c r="I158" i="2" s="1"/>
  <c r="H159" i="2"/>
  <c r="H160" i="2"/>
  <c r="H161" i="2"/>
  <c r="I161" i="2" s="1"/>
  <c r="H162" i="2"/>
  <c r="I162" i="2" s="1"/>
  <c r="H163" i="2"/>
  <c r="I163" i="2" s="1"/>
  <c r="H164" i="2"/>
  <c r="I164" i="2" s="1"/>
  <c r="H165" i="2"/>
  <c r="I165" i="2" s="1"/>
  <c r="H166" i="2"/>
  <c r="I166" i="2" s="1"/>
  <c r="H167" i="2"/>
  <c r="H168" i="2"/>
  <c r="H169" i="2"/>
  <c r="H170" i="2"/>
  <c r="H171" i="2"/>
  <c r="H172" i="2"/>
  <c r="H173" i="2"/>
  <c r="H174" i="2"/>
  <c r="I174" i="2" s="1"/>
  <c r="H175" i="2"/>
  <c r="I175" i="2" s="1"/>
  <c r="H176" i="2"/>
  <c r="I176" i="2" s="1"/>
  <c r="H177" i="2"/>
  <c r="I177" i="2" s="1"/>
  <c r="H178" i="2"/>
  <c r="H179" i="2"/>
  <c r="H180" i="2"/>
  <c r="I180" i="2" s="1"/>
  <c r="H181" i="2"/>
  <c r="I181" i="2" s="1"/>
  <c r="H182" i="2"/>
  <c r="H183" i="2"/>
  <c r="H184" i="2"/>
  <c r="I184" i="2" s="1"/>
  <c r="H185" i="2"/>
  <c r="H186" i="2"/>
  <c r="H187" i="2"/>
  <c r="H188" i="2"/>
  <c r="H189" i="2"/>
  <c r="H190" i="2"/>
  <c r="H191" i="2"/>
  <c r="I191" i="2" s="1"/>
  <c r="H192" i="2"/>
  <c r="I192" i="2" s="1"/>
  <c r="H193" i="2"/>
  <c r="H194" i="2"/>
  <c r="I194" i="2" s="1"/>
  <c r="H195" i="2"/>
  <c r="H196" i="2"/>
  <c r="I196" i="2" s="1"/>
  <c r="H197" i="2"/>
  <c r="H198" i="2"/>
  <c r="I198" i="2" s="1"/>
  <c r="H199" i="2"/>
  <c r="I199" i="2" s="1"/>
  <c r="H200" i="2"/>
  <c r="I200" i="2" s="1"/>
  <c r="H201" i="2"/>
  <c r="I201" i="2" s="1"/>
  <c r="H2" i="2"/>
  <c r="E161" i="6" l="1"/>
  <c r="F161" i="6" s="1"/>
  <c r="E97" i="6"/>
  <c r="F97" i="6" s="1"/>
  <c r="E72" i="6"/>
  <c r="F72" i="6" s="1"/>
  <c r="E41" i="6"/>
  <c r="F41" i="6" s="1"/>
  <c r="E9" i="6"/>
  <c r="F9" i="6" s="1"/>
  <c r="G129" i="6"/>
  <c r="G113" i="6"/>
  <c r="G81" i="6"/>
  <c r="E199" i="6"/>
  <c r="F199" i="6" s="1"/>
  <c r="E160" i="6"/>
  <c r="F160" i="6" s="1"/>
  <c r="E135" i="6"/>
  <c r="F135" i="6" s="1"/>
  <c r="E55" i="6"/>
  <c r="F55" i="6" s="1"/>
  <c r="E24" i="6"/>
  <c r="F24" i="6" s="1"/>
  <c r="G192" i="6"/>
  <c r="G144" i="6"/>
  <c r="G80" i="6"/>
  <c r="G48" i="6"/>
  <c r="G70" i="6"/>
  <c r="E70" i="6"/>
  <c r="F70" i="6" s="1"/>
  <c r="G62" i="6"/>
  <c r="E62" i="6"/>
  <c r="F62" i="6" s="1"/>
  <c r="G46" i="6"/>
  <c r="E46" i="6"/>
  <c r="F46" i="6" s="1"/>
  <c r="G38" i="6"/>
  <c r="E38" i="6"/>
  <c r="F38" i="6" s="1"/>
  <c r="G22" i="6"/>
  <c r="E22" i="6"/>
  <c r="F22" i="6" s="1"/>
  <c r="G14" i="6"/>
  <c r="E14" i="6"/>
  <c r="F14" i="6" s="1"/>
  <c r="E184" i="6"/>
  <c r="F184" i="6" s="1"/>
  <c r="E145" i="6"/>
  <c r="F145" i="6" s="1"/>
  <c r="E120" i="6"/>
  <c r="F120" i="6" s="1"/>
  <c r="E95" i="6"/>
  <c r="F95" i="6" s="1"/>
  <c r="E39" i="6"/>
  <c r="F39" i="6" s="1"/>
  <c r="E7" i="6"/>
  <c r="F7" i="6" s="1"/>
  <c r="G143" i="6"/>
  <c r="G79" i="6"/>
  <c r="G47" i="6"/>
  <c r="E183" i="6"/>
  <c r="F183" i="6" s="1"/>
  <c r="E169" i="6"/>
  <c r="F169" i="6" s="1"/>
  <c r="E158" i="6"/>
  <c r="F158" i="6" s="1"/>
  <c r="E119" i="6"/>
  <c r="F119" i="6" s="1"/>
  <c r="E105" i="6"/>
  <c r="F105" i="6" s="1"/>
  <c r="E94" i="6"/>
  <c r="F94" i="6" s="1"/>
  <c r="E65" i="6"/>
  <c r="F65" i="6" s="1"/>
  <c r="G2" i="6"/>
  <c r="G170" i="6"/>
  <c r="G154" i="6"/>
  <c r="G138" i="6"/>
  <c r="G106" i="6"/>
  <c r="G90" i="6"/>
  <c r="G74" i="6"/>
  <c r="G58" i="6"/>
  <c r="E201" i="6"/>
  <c r="F201" i="6" s="1"/>
  <c r="E137" i="6"/>
  <c r="F137" i="6" s="1"/>
  <c r="E73" i="6"/>
  <c r="F73" i="6" s="1"/>
  <c r="E200" i="6"/>
  <c r="F200" i="6" s="1"/>
  <c r="E56" i="6"/>
  <c r="F56" i="6" s="1"/>
  <c r="E25" i="6"/>
  <c r="F25" i="6" s="1"/>
  <c r="G193" i="6"/>
  <c r="G177" i="6"/>
  <c r="G17" i="6"/>
  <c r="E185" i="6"/>
  <c r="F185" i="6" s="1"/>
  <c r="E121" i="6"/>
  <c r="F121" i="6" s="1"/>
  <c r="E96" i="6"/>
  <c r="F96" i="6" s="1"/>
  <c r="E71" i="6"/>
  <c r="F71" i="6" s="1"/>
  <c r="E40" i="6"/>
  <c r="F40" i="6" s="1"/>
  <c r="E8" i="6"/>
  <c r="F8" i="6" s="1"/>
  <c r="G128" i="6"/>
  <c r="G64" i="6"/>
  <c r="G16" i="6"/>
  <c r="G30" i="6"/>
  <c r="E30" i="6"/>
  <c r="F30" i="6" s="1"/>
  <c r="G6" i="6"/>
  <c r="E6" i="6"/>
  <c r="F6" i="6" s="1"/>
  <c r="E198" i="6"/>
  <c r="F198" i="6" s="1"/>
  <c r="E159" i="6"/>
  <c r="F159" i="6" s="1"/>
  <c r="E134" i="6"/>
  <c r="F134" i="6" s="1"/>
  <c r="E54" i="6"/>
  <c r="F54" i="6" s="1"/>
  <c r="E23" i="6"/>
  <c r="F23" i="6" s="1"/>
  <c r="G191" i="6"/>
  <c r="G127" i="6"/>
  <c r="G63" i="6"/>
  <c r="G31" i="6"/>
  <c r="G15" i="6"/>
  <c r="E182" i="6"/>
  <c r="F182" i="6" s="1"/>
  <c r="E168" i="6"/>
  <c r="F168" i="6" s="1"/>
  <c r="E118" i="6"/>
  <c r="F118" i="6" s="1"/>
  <c r="E104" i="6"/>
  <c r="F104" i="6" s="1"/>
  <c r="E49" i="6"/>
  <c r="F49" i="6" s="1"/>
  <c r="E33" i="6"/>
  <c r="F33" i="6" s="1"/>
  <c r="G153" i="6"/>
  <c r="G89" i="6"/>
  <c r="G57" i="6"/>
  <c r="E136" i="6"/>
  <c r="F136" i="6" s="1"/>
  <c r="G32" i="6"/>
  <c r="E167" i="6"/>
  <c r="F167" i="6" s="1"/>
  <c r="E142" i="6"/>
  <c r="F142" i="6" s="1"/>
  <c r="E103" i="6"/>
  <c r="F103" i="6" s="1"/>
  <c r="E78" i="6"/>
  <c r="F78" i="6" s="1"/>
  <c r="G152" i="6"/>
  <c r="G88" i="6"/>
  <c r="E166" i="6"/>
  <c r="F166" i="6" s="1"/>
  <c r="E102" i="6"/>
  <c r="F102" i="6" s="1"/>
  <c r="E197" i="6"/>
  <c r="F197" i="6" s="1"/>
  <c r="E189" i="6"/>
  <c r="F189" i="6" s="1"/>
  <c r="E181" i="6"/>
  <c r="F181" i="6" s="1"/>
  <c r="E173" i="6"/>
  <c r="F173" i="6" s="1"/>
  <c r="E165" i="6"/>
  <c r="F165" i="6" s="1"/>
  <c r="E157" i="6"/>
  <c r="F157" i="6" s="1"/>
  <c r="E149" i="6"/>
  <c r="F149" i="6" s="1"/>
  <c r="E141" i="6"/>
  <c r="F141" i="6" s="1"/>
  <c r="E133" i="6"/>
  <c r="F133" i="6" s="1"/>
  <c r="E125" i="6"/>
  <c r="F125" i="6" s="1"/>
  <c r="E117" i="6"/>
  <c r="F117" i="6" s="1"/>
  <c r="E109" i="6"/>
  <c r="F109" i="6" s="1"/>
  <c r="E101" i="6"/>
  <c r="F101" i="6" s="1"/>
  <c r="E93" i="6"/>
  <c r="F93" i="6" s="1"/>
  <c r="E85" i="6"/>
  <c r="F85" i="6" s="1"/>
  <c r="E77" i="6"/>
  <c r="F77" i="6" s="1"/>
  <c r="E69" i="6"/>
  <c r="F69" i="6" s="1"/>
  <c r="E61" i="6"/>
  <c r="F61" i="6" s="1"/>
  <c r="E53" i="6"/>
  <c r="F53" i="6" s="1"/>
  <c r="E45" i="6"/>
  <c r="F45" i="6" s="1"/>
  <c r="E37" i="6"/>
  <c r="F37" i="6" s="1"/>
  <c r="E29" i="6"/>
  <c r="F29" i="6" s="1"/>
  <c r="E21" i="6"/>
  <c r="F21" i="6" s="1"/>
  <c r="E13" i="6"/>
  <c r="F13" i="6" s="1"/>
  <c r="E5" i="6"/>
  <c r="F5" i="6" s="1"/>
  <c r="E196" i="6"/>
  <c r="F196" i="6" s="1"/>
  <c r="E188" i="6"/>
  <c r="F188" i="6" s="1"/>
  <c r="E180" i="6"/>
  <c r="F180" i="6" s="1"/>
  <c r="E172" i="6"/>
  <c r="F172" i="6" s="1"/>
  <c r="E164" i="6"/>
  <c r="F164" i="6" s="1"/>
  <c r="E156" i="6"/>
  <c r="F156" i="6" s="1"/>
  <c r="E148" i="6"/>
  <c r="F148" i="6" s="1"/>
  <c r="E140" i="6"/>
  <c r="F140" i="6" s="1"/>
  <c r="E132" i="6"/>
  <c r="F132" i="6" s="1"/>
  <c r="E124" i="6"/>
  <c r="F124" i="6" s="1"/>
  <c r="E116" i="6"/>
  <c r="F116" i="6" s="1"/>
  <c r="E108" i="6"/>
  <c r="F108" i="6" s="1"/>
  <c r="E100" i="6"/>
  <c r="F100" i="6" s="1"/>
  <c r="E92" i="6"/>
  <c r="F92" i="6" s="1"/>
  <c r="E84" i="6"/>
  <c r="F84" i="6" s="1"/>
  <c r="E76" i="6"/>
  <c r="F76" i="6" s="1"/>
  <c r="E68" i="6"/>
  <c r="F68" i="6" s="1"/>
  <c r="E60" i="6"/>
  <c r="F60" i="6" s="1"/>
  <c r="E52" i="6"/>
  <c r="F52" i="6" s="1"/>
  <c r="E44" i="6"/>
  <c r="F44" i="6" s="1"/>
  <c r="E36" i="6"/>
  <c r="F36" i="6" s="1"/>
  <c r="E28" i="6"/>
  <c r="F28" i="6" s="1"/>
  <c r="E20" i="6"/>
  <c r="F20" i="6" s="1"/>
  <c r="E12" i="6"/>
  <c r="F12" i="6" s="1"/>
  <c r="E4" i="6"/>
  <c r="F4" i="6" s="1"/>
  <c r="E195" i="6"/>
  <c r="F195" i="6" s="1"/>
  <c r="E187" i="6"/>
  <c r="F187" i="6" s="1"/>
  <c r="E179" i="6"/>
  <c r="F179" i="6" s="1"/>
  <c r="E171" i="6"/>
  <c r="F171" i="6" s="1"/>
  <c r="E163" i="6"/>
  <c r="F163" i="6" s="1"/>
  <c r="E155" i="6"/>
  <c r="F155" i="6" s="1"/>
  <c r="E147" i="6"/>
  <c r="F147" i="6" s="1"/>
  <c r="E139" i="6"/>
  <c r="F139" i="6" s="1"/>
  <c r="E131" i="6"/>
  <c r="F131" i="6" s="1"/>
  <c r="E123" i="6"/>
  <c r="F123" i="6" s="1"/>
  <c r="E115" i="6"/>
  <c r="F115" i="6" s="1"/>
  <c r="E107" i="6"/>
  <c r="F107" i="6" s="1"/>
  <c r="E99" i="6"/>
  <c r="F99" i="6" s="1"/>
  <c r="E91" i="6"/>
  <c r="F91" i="6" s="1"/>
  <c r="E83" i="6"/>
  <c r="F83" i="6" s="1"/>
  <c r="E75" i="6"/>
  <c r="F75" i="6" s="1"/>
  <c r="E67" i="6"/>
  <c r="F67" i="6" s="1"/>
  <c r="E59" i="6"/>
  <c r="F59" i="6" s="1"/>
  <c r="E51" i="6"/>
  <c r="F51" i="6" s="1"/>
  <c r="E43" i="6"/>
  <c r="F43" i="6" s="1"/>
  <c r="E35" i="6"/>
  <c r="F35" i="6" s="1"/>
  <c r="E27" i="6"/>
  <c r="F27" i="6" s="1"/>
  <c r="E19" i="6"/>
  <c r="F19" i="6" s="1"/>
  <c r="E11" i="6"/>
  <c r="F11" i="6" s="1"/>
  <c r="E3" i="6"/>
  <c r="F3" i="6" s="1"/>
  <c r="I159" i="2"/>
  <c r="I119" i="2"/>
  <c r="I111" i="2"/>
  <c r="I87" i="2"/>
  <c r="I79" i="2"/>
  <c r="I47" i="2"/>
  <c r="I189" i="2"/>
  <c r="I114" i="2"/>
  <c r="I60" i="2"/>
  <c r="I21" i="2"/>
  <c r="I151" i="2"/>
  <c r="I188" i="2"/>
  <c r="I112" i="2"/>
  <c r="I38" i="2"/>
  <c r="I14" i="2"/>
  <c r="I74" i="2"/>
  <c r="I109" i="2"/>
  <c r="I178" i="2"/>
  <c r="I104" i="2"/>
  <c r="I37" i="2"/>
  <c r="I13" i="2"/>
  <c r="I71" i="2"/>
  <c r="I126" i="2"/>
  <c r="I78" i="2"/>
  <c r="I157" i="2"/>
  <c r="I133" i="2"/>
  <c r="I156" i="2"/>
  <c r="I116" i="2"/>
  <c r="I100" i="2"/>
  <c r="I68" i="2"/>
  <c r="I20" i="2"/>
  <c r="I173" i="2"/>
  <c r="I15" i="2"/>
  <c r="I172" i="2"/>
  <c r="I31" i="2"/>
  <c r="I142" i="2"/>
  <c r="I102" i="2"/>
  <c r="I179" i="2"/>
  <c r="I131" i="2"/>
  <c r="I43" i="2"/>
  <c r="I27" i="2"/>
  <c r="I113" i="2"/>
  <c r="I186" i="2"/>
  <c r="I170" i="2"/>
  <c r="I138" i="2"/>
  <c r="I90" i="2"/>
  <c r="I58" i="2"/>
  <c r="I42" i="2"/>
  <c r="I26" i="2"/>
  <c r="I10" i="2"/>
  <c r="I30" i="2"/>
  <c r="I182" i="2"/>
  <c r="I118" i="2"/>
  <c r="I86" i="2"/>
  <c r="I187" i="2"/>
  <c r="I155" i="2"/>
  <c r="I139" i="2"/>
  <c r="I91" i="2"/>
  <c r="I35" i="2"/>
  <c r="I193" i="2"/>
  <c r="I185" i="2"/>
  <c r="I169" i="2"/>
  <c r="I153" i="2"/>
  <c r="I105" i="2"/>
  <c r="I65" i="2"/>
  <c r="I57" i="2"/>
  <c r="I130" i="2"/>
  <c r="I110" i="2"/>
  <c r="I94" i="2"/>
  <c r="I197" i="2"/>
  <c r="I195" i="2"/>
  <c r="I171" i="2"/>
  <c r="I99" i="2"/>
  <c r="I67" i="2"/>
  <c r="I168" i="2"/>
  <c r="I160" i="2"/>
  <c r="I152" i="2"/>
  <c r="I136" i="2"/>
  <c r="I96" i="2"/>
  <c r="I80" i="2"/>
  <c r="I64" i="2"/>
  <c r="I32" i="2"/>
  <c r="I8" i="2"/>
  <c r="J3" i="4" a="1"/>
  <c r="J3" i="4" s="1"/>
  <c r="I3" i="4" s="1"/>
  <c r="J2" i="4" a="1"/>
  <c r="J2" i="4" s="1"/>
  <c r="J4" i="4" a="1"/>
  <c r="J4" i="4" s="1"/>
  <c r="F5" i="4"/>
  <c r="G5" i="4" s="1"/>
  <c r="F6" i="4"/>
  <c r="G6" i="4" s="1"/>
  <c r="F4" i="4"/>
  <c r="G4" i="4" s="1"/>
  <c r="F3" i="4"/>
  <c r="G3" i="4" s="1"/>
  <c r="F2" i="4"/>
  <c r="G2" i="4" s="1"/>
  <c r="I2" i="2"/>
  <c r="I167" i="2"/>
  <c r="I190" i="2"/>
  <c r="I61" i="2"/>
  <c r="I135" i="2"/>
  <c r="I54" i="2"/>
  <c r="I149" i="2"/>
  <c r="I103" i="2"/>
  <c r="I95" i="2"/>
  <c r="I3" i="2"/>
  <c r="I183" i="2"/>
  <c r="I48" i="2"/>
  <c r="I85" i="2"/>
  <c r="I46" i="2"/>
  <c r="I141" i="2"/>
  <c r="I124" i="2"/>
  <c r="I98" i="2"/>
  <c r="I154" i="2"/>
  <c r="I39" i="2"/>
  <c r="I49" i="2"/>
  <c r="I148" i="2"/>
  <c r="F2" i="3"/>
  <c r="F3" i="3"/>
  <c r="F4" i="3"/>
  <c r="H48" i="6" l="1"/>
  <c r="I48" i="6" s="1"/>
  <c r="H28" i="6"/>
  <c r="I28" i="6" s="1"/>
  <c r="H27" i="6"/>
  <c r="I27" i="6" s="1"/>
  <c r="H77" i="6"/>
  <c r="I77" i="6" s="1"/>
  <c r="H92" i="6"/>
  <c r="I92" i="6" s="1"/>
  <c r="H129" i="6"/>
  <c r="I129" i="6" s="1"/>
  <c r="H55" i="6"/>
  <c r="I55" i="6" s="1"/>
  <c r="H127" i="6"/>
  <c r="I127" i="6" s="1"/>
  <c r="H190" i="6"/>
  <c r="I190" i="6" s="1"/>
  <c r="H141" i="6"/>
  <c r="I141" i="6" s="1"/>
  <c r="H156" i="6"/>
  <c r="I156" i="6" s="1"/>
  <c r="H46" i="6"/>
  <c r="I46" i="6" s="1"/>
  <c r="H136" i="6"/>
  <c r="I136" i="6" s="1"/>
  <c r="H201" i="6"/>
  <c r="I201" i="6" s="1"/>
  <c r="H13" i="6"/>
  <c r="I13" i="6" s="1"/>
  <c r="H91" i="6"/>
  <c r="I91" i="6" s="1"/>
  <c r="H84" i="6"/>
  <c r="I84" i="6" s="1"/>
  <c r="H118" i="6"/>
  <c r="I118" i="6" s="1"/>
  <c r="H73" i="6"/>
  <c r="I73" i="6" s="1"/>
  <c r="H169" i="6"/>
  <c r="I169" i="6" s="1"/>
  <c r="H35" i="6"/>
  <c r="I35" i="6" s="1"/>
  <c r="H166" i="6"/>
  <c r="I166" i="6" s="1"/>
  <c r="H168" i="6"/>
  <c r="I168" i="6" s="1"/>
  <c r="H185" i="6"/>
  <c r="I185" i="6" s="1"/>
  <c r="H183" i="6"/>
  <c r="I183" i="6" s="1"/>
  <c r="H145" i="6"/>
  <c r="I145" i="6" s="1"/>
  <c r="H123" i="6"/>
  <c r="I123" i="6" s="1"/>
  <c r="H43" i="6"/>
  <c r="I43" i="6" s="1"/>
  <c r="H107" i="6"/>
  <c r="I107" i="6" s="1"/>
  <c r="H171" i="6"/>
  <c r="I171" i="6" s="1"/>
  <c r="H157" i="6"/>
  <c r="I157" i="6" s="1"/>
  <c r="H182" i="6"/>
  <c r="I182" i="6" s="1"/>
  <c r="H184" i="6"/>
  <c r="I184" i="6" s="1"/>
  <c r="H187" i="6"/>
  <c r="I187" i="6" s="1"/>
  <c r="H119" i="6"/>
  <c r="I119" i="6" s="1"/>
  <c r="H51" i="6"/>
  <c r="I51" i="6" s="1"/>
  <c r="H115" i="6"/>
  <c r="I115" i="6" s="1"/>
  <c r="H179" i="6"/>
  <c r="I179" i="6" s="1"/>
  <c r="H165" i="6"/>
  <c r="I165" i="6" s="1"/>
  <c r="H65" i="6"/>
  <c r="I65" i="6" s="1"/>
  <c r="H14" i="6"/>
  <c r="I14" i="6" s="1"/>
  <c r="H62" i="6"/>
  <c r="I62" i="6" s="1"/>
  <c r="H24" i="6"/>
  <c r="I24" i="6" s="1"/>
  <c r="H86" i="6"/>
  <c r="I86" i="6" s="1"/>
  <c r="H34" i="6"/>
  <c r="I34" i="6" s="1"/>
  <c r="H57" i="6"/>
  <c r="I57" i="6" s="1"/>
  <c r="H56" i="6"/>
  <c r="I56" i="6" s="1"/>
  <c r="H150" i="6"/>
  <c r="I150" i="6" s="1"/>
  <c r="H98" i="6"/>
  <c r="I98" i="6" s="1"/>
  <c r="H155" i="6"/>
  <c r="I155" i="6" s="1"/>
  <c r="H44" i="6"/>
  <c r="I44" i="6" s="1"/>
  <c r="H23" i="6"/>
  <c r="I23" i="6" s="1"/>
  <c r="H120" i="6"/>
  <c r="I120" i="6" s="1"/>
  <c r="H81" i="6"/>
  <c r="I81" i="6" s="1"/>
  <c r="H163" i="6"/>
  <c r="I163" i="6" s="1"/>
  <c r="H54" i="6"/>
  <c r="I54" i="6" s="1"/>
  <c r="H137" i="6"/>
  <c r="I137" i="6" s="1"/>
  <c r="H162" i="6"/>
  <c r="I162" i="6" s="1"/>
  <c r="H20" i="6"/>
  <c r="I20" i="6" s="1"/>
  <c r="H148" i="6"/>
  <c r="I148" i="6" s="1"/>
  <c r="H102" i="6"/>
  <c r="I102" i="6" s="1"/>
  <c r="H121" i="6"/>
  <c r="I121" i="6" s="1"/>
  <c r="H59" i="6"/>
  <c r="I59" i="6" s="1"/>
  <c r="H99" i="6"/>
  <c r="I99" i="6" s="1"/>
  <c r="H149" i="6"/>
  <c r="I149" i="6" s="1"/>
  <c r="H3" i="6"/>
  <c r="I3" i="6" s="1"/>
  <c r="H89" i="6"/>
  <c r="I89" i="6" s="1"/>
  <c r="H173" i="6"/>
  <c r="I173" i="6" s="1"/>
  <c r="H63" i="6"/>
  <c r="I63" i="6" s="1"/>
  <c r="H6" i="6"/>
  <c r="I6" i="6" s="1"/>
  <c r="H50" i="6"/>
  <c r="I50" i="6" s="1"/>
  <c r="H11" i="6"/>
  <c r="I11" i="6" s="1"/>
  <c r="H29" i="6"/>
  <c r="I29" i="6" s="1"/>
  <c r="H151" i="6"/>
  <c r="I151" i="6" s="1"/>
  <c r="H159" i="6"/>
  <c r="I159" i="6" s="1"/>
  <c r="H70" i="6"/>
  <c r="I70" i="6" s="1"/>
  <c r="H41" i="6"/>
  <c r="I41" i="6" s="1"/>
  <c r="H147" i="6"/>
  <c r="I147" i="6" s="1"/>
  <c r="H116" i="6"/>
  <c r="I116" i="6" s="1"/>
  <c r="H101" i="6"/>
  <c r="I101" i="6" s="1"/>
  <c r="H7" i="6"/>
  <c r="I7" i="6" s="1"/>
  <c r="H38" i="6"/>
  <c r="I38" i="6" s="1"/>
  <c r="H130" i="6"/>
  <c r="I130" i="6" s="1"/>
  <c r="H128" i="6"/>
  <c r="I128" i="6" s="1"/>
  <c r="H60" i="6"/>
  <c r="I60" i="6" s="1"/>
  <c r="H124" i="6"/>
  <c r="I124" i="6" s="1"/>
  <c r="H188" i="6"/>
  <c r="I188" i="6" s="1"/>
  <c r="H45" i="6"/>
  <c r="I45" i="6" s="1"/>
  <c r="H109" i="6"/>
  <c r="I109" i="6" s="1"/>
  <c r="H197" i="6"/>
  <c r="I197" i="6" s="1"/>
  <c r="H191" i="6"/>
  <c r="I191" i="6" s="1"/>
  <c r="H15" i="6"/>
  <c r="I15" i="6" s="1"/>
  <c r="H87" i="6"/>
  <c r="I87" i="6" s="1"/>
  <c r="H152" i="6"/>
  <c r="I152" i="6" s="1"/>
  <c r="H30" i="6"/>
  <c r="I30" i="6" s="1"/>
  <c r="H110" i="6"/>
  <c r="I110" i="6" s="1"/>
  <c r="H170" i="6"/>
  <c r="I170" i="6" s="1"/>
  <c r="H131" i="6"/>
  <c r="I131" i="6" s="1"/>
  <c r="H36" i="6"/>
  <c r="I36" i="6" s="1"/>
  <c r="H21" i="6"/>
  <c r="I21" i="6" s="1"/>
  <c r="H135" i="6"/>
  <c r="I135" i="6" s="1"/>
  <c r="H143" i="6"/>
  <c r="I143" i="6" s="1"/>
  <c r="H174" i="6"/>
  <c r="I174" i="6" s="1"/>
  <c r="H9" i="6"/>
  <c r="I9" i="6" s="1"/>
  <c r="H75" i="6"/>
  <c r="I75" i="6" s="1"/>
  <c r="H108" i="6"/>
  <c r="I108" i="6" s="1"/>
  <c r="H93" i="6"/>
  <c r="I93" i="6" s="1"/>
  <c r="H112" i="6"/>
  <c r="I112" i="6" s="1"/>
  <c r="H193" i="6"/>
  <c r="I193" i="6" s="1"/>
  <c r="H96" i="6"/>
  <c r="I96" i="6" s="1"/>
  <c r="H134" i="6"/>
  <c r="I134" i="6" s="1"/>
  <c r="H58" i="6"/>
  <c r="I58" i="6" s="1"/>
  <c r="H186" i="6"/>
  <c r="I186" i="6" s="1"/>
  <c r="H19" i="6"/>
  <c r="I19" i="6" s="1"/>
  <c r="H72" i="6"/>
  <c r="I72" i="6" s="1"/>
  <c r="H52" i="6"/>
  <c r="I52" i="6" s="1"/>
  <c r="H180" i="6"/>
  <c r="I180" i="6" s="1"/>
  <c r="H189" i="6"/>
  <c r="I189" i="6" s="1"/>
  <c r="H144" i="6"/>
  <c r="I144" i="6" s="1"/>
  <c r="H79" i="6"/>
  <c r="I79" i="6" s="1"/>
  <c r="H177" i="6"/>
  <c r="I177" i="6" s="1"/>
  <c r="H142" i="6"/>
  <c r="I142" i="6" s="1"/>
  <c r="H66" i="6"/>
  <c r="I66" i="6" s="1"/>
  <c r="H194" i="6"/>
  <c r="I194" i="6" s="1"/>
  <c r="H10" i="6"/>
  <c r="I10" i="6" s="1"/>
  <c r="H74" i="6"/>
  <c r="I74" i="6" s="1"/>
  <c r="H138" i="6"/>
  <c r="I138" i="6" s="1"/>
  <c r="H2" i="6"/>
  <c r="H105" i="6"/>
  <c r="I105" i="6" s="1"/>
  <c r="H4" i="6"/>
  <c r="I4" i="6" s="1"/>
  <c r="H68" i="6"/>
  <c r="I68" i="6" s="1"/>
  <c r="H132" i="6"/>
  <c r="I132" i="6" s="1"/>
  <c r="H196" i="6"/>
  <c r="I196" i="6" s="1"/>
  <c r="H53" i="6"/>
  <c r="I53" i="6" s="1"/>
  <c r="H117" i="6"/>
  <c r="I117" i="6" s="1"/>
  <c r="H104" i="6"/>
  <c r="I104" i="6" s="1"/>
  <c r="H8" i="6"/>
  <c r="I8" i="6" s="1"/>
  <c r="H33" i="6"/>
  <c r="I33" i="6" s="1"/>
  <c r="H95" i="6"/>
  <c r="I95" i="6" s="1"/>
  <c r="H199" i="6"/>
  <c r="I199" i="6" s="1"/>
  <c r="H192" i="6"/>
  <c r="I192" i="6" s="1"/>
  <c r="H158" i="6"/>
  <c r="I158" i="6" s="1"/>
  <c r="H106" i="6"/>
  <c r="I106" i="6" s="1"/>
  <c r="H67" i="6"/>
  <c r="I67" i="6" s="1"/>
  <c r="H164" i="6"/>
  <c r="I164" i="6" s="1"/>
  <c r="H88" i="6"/>
  <c r="I88" i="6" s="1"/>
  <c r="H113" i="6"/>
  <c r="I113" i="6" s="1"/>
  <c r="H178" i="6"/>
  <c r="I178" i="6" s="1"/>
  <c r="H139" i="6"/>
  <c r="I139" i="6" s="1"/>
  <c r="H172" i="6"/>
  <c r="I172" i="6" s="1"/>
  <c r="H181" i="6"/>
  <c r="I181" i="6" s="1"/>
  <c r="H71" i="6"/>
  <c r="I71" i="6" s="1"/>
  <c r="H126" i="6"/>
  <c r="I126" i="6" s="1"/>
  <c r="H122" i="6"/>
  <c r="I122" i="6" s="1"/>
  <c r="H83" i="6"/>
  <c r="I83" i="6" s="1"/>
  <c r="H153" i="6"/>
  <c r="I153" i="6" s="1"/>
  <c r="H37" i="6"/>
  <c r="I37" i="6" s="1"/>
  <c r="H175" i="6"/>
  <c r="I175" i="6" s="1"/>
  <c r="H167" i="6"/>
  <c r="I167" i="6" s="1"/>
  <c r="H94" i="6"/>
  <c r="I94" i="6" s="1"/>
  <c r="H18" i="6"/>
  <c r="I18" i="6" s="1"/>
  <c r="H82" i="6"/>
  <c r="I82" i="6" s="1"/>
  <c r="H146" i="6"/>
  <c r="I146" i="6" s="1"/>
  <c r="H200" i="6"/>
  <c r="I200" i="6" s="1"/>
  <c r="H12" i="6"/>
  <c r="I12" i="6" s="1"/>
  <c r="H76" i="6"/>
  <c r="I76" i="6" s="1"/>
  <c r="H140" i="6"/>
  <c r="I140" i="6" s="1"/>
  <c r="H61" i="6"/>
  <c r="I61" i="6" s="1"/>
  <c r="H125" i="6"/>
  <c r="I125" i="6" s="1"/>
  <c r="H160" i="6"/>
  <c r="I160" i="6" s="1"/>
  <c r="H39" i="6"/>
  <c r="I39" i="6" s="1"/>
  <c r="H103" i="6"/>
  <c r="I103" i="6" s="1"/>
  <c r="H16" i="6"/>
  <c r="I16" i="6" s="1"/>
  <c r="H17" i="6"/>
  <c r="I17" i="6" s="1"/>
  <c r="H22" i="6"/>
  <c r="I22" i="6" s="1"/>
  <c r="H78" i="6"/>
  <c r="I78" i="6" s="1"/>
  <c r="H42" i="6"/>
  <c r="I42" i="6" s="1"/>
  <c r="H176" i="6"/>
  <c r="I176" i="6" s="1"/>
  <c r="H195" i="6"/>
  <c r="I195" i="6" s="1"/>
  <c r="H100" i="6"/>
  <c r="I100" i="6" s="1"/>
  <c r="H85" i="6"/>
  <c r="I85" i="6" s="1"/>
  <c r="H161" i="6"/>
  <c r="I161" i="6" s="1"/>
  <c r="H64" i="6"/>
  <c r="I64" i="6" s="1"/>
  <c r="H198" i="6"/>
  <c r="I198" i="6" s="1"/>
  <c r="H114" i="6"/>
  <c r="I114" i="6" s="1"/>
  <c r="H26" i="6"/>
  <c r="I26" i="6" s="1"/>
  <c r="H90" i="6"/>
  <c r="I90" i="6" s="1"/>
  <c r="H154" i="6"/>
  <c r="I154" i="6" s="1"/>
  <c r="H80" i="6"/>
  <c r="I80" i="6" s="1"/>
  <c r="H25" i="6"/>
  <c r="I25" i="6" s="1"/>
  <c r="H5" i="6"/>
  <c r="I5" i="6" s="1"/>
  <c r="H69" i="6"/>
  <c r="I69" i="6" s="1"/>
  <c r="H133" i="6"/>
  <c r="I133" i="6" s="1"/>
  <c r="H31" i="6"/>
  <c r="I31" i="6" s="1"/>
  <c r="H40" i="6"/>
  <c r="I40" i="6" s="1"/>
  <c r="H97" i="6"/>
  <c r="I97" i="6" s="1"/>
  <c r="H47" i="6"/>
  <c r="I47" i="6" s="1"/>
  <c r="H111" i="6"/>
  <c r="I111" i="6" s="1"/>
  <c r="H32" i="6"/>
  <c r="I32" i="6" s="1"/>
  <c r="H49" i="6"/>
  <c r="I49" i="6" s="1"/>
  <c r="I4" i="4"/>
  <c r="I2" i="4"/>
  <c r="G7" i="4"/>
  <c r="G8" i="4" s="1"/>
  <c r="K6" i="6" l="1"/>
  <c r="K3" i="6"/>
  <c r="K5" i="6"/>
  <c r="K7" i="6"/>
  <c r="K9" i="6"/>
  <c r="K10" i="6"/>
  <c r="K11" i="6"/>
  <c r="K4" i="6"/>
  <c r="K2" i="6"/>
  <c r="K8" i="6"/>
  <c r="I2" i="6"/>
  <c r="N11" i="6" l="1"/>
  <c r="L11" i="6"/>
  <c r="M11" i="6"/>
  <c r="M9" i="6"/>
  <c r="N9" i="6"/>
  <c r="L9" i="6"/>
  <c r="M5" i="6"/>
  <c r="N5" i="6"/>
  <c r="L5" i="6"/>
  <c r="N4" i="6"/>
  <c r="M4" i="6"/>
  <c r="L4" i="6"/>
  <c r="L10" i="6"/>
  <c r="M10" i="6"/>
  <c r="N10" i="6"/>
  <c r="L7" i="6"/>
  <c r="M7" i="6"/>
  <c r="N7" i="6"/>
  <c r="L8" i="6"/>
  <c r="N8" i="6"/>
  <c r="M8" i="6"/>
  <c r="N3" i="6"/>
  <c r="L3" i="6"/>
  <c r="M3" i="6"/>
  <c r="M2" i="6"/>
  <c r="L2" i="6"/>
  <c r="N2" i="6"/>
  <c r="M6" i="6"/>
  <c r="L6" i="6"/>
  <c r="N6"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<sst xmlns="http://schemas.openxmlformats.org/spreadsheetml/2006/main" count="2229" uniqueCount="804">
  <si>
    <t>Coin Name</t>
  </si>
  <si>
    <t>Symbol</t>
  </si>
  <si>
    <t>Price (USD)</t>
  </si>
  <si>
    <t>1h Change (%)</t>
  </si>
  <si>
    <t>Market Cap</t>
  </si>
  <si>
    <t>Volume (24h) USD</t>
  </si>
  <si>
    <t>Circulating Supply</t>
  </si>
  <si>
    <t>Bitcoin</t>
  </si>
  <si>
    <t>BTC</t>
  </si>
  <si>
    <t>$2.07T</t>
  </si>
  <si>
    <t>19.88M</t>
  </si>
  <si>
    <t>Ethereum</t>
  </si>
  <si>
    <t>ETH</t>
  </si>
  <si>
    <t>$299.51B</t>
  </si>
  <si>
    <t>120.72M</t>
  </si>
  <si>
    <t>Tether</t>
  </si>
  <si>
    <t>USDT</t>
  </si>
  <si>
    <t>$155.95B</t>
  </si>
  <si>
    <t>155.94B</t>
  </si>
  <si>
    <t>XRP</t>
  </si>
  <si>
    <t>$125.42B</t>
  </si>
  <si>
    <t>58.93B</t>
  </si>
  <si>
    <t>BNB</t>
  </si>
  <si>
    <t>$90.84B</t>
  </si>
  <si>
    <t>140.88M</t>
  </si>
  <si>
    <t>Solana</t>
  </si>
  <si>
    <t>SOL</t>
  </si>
  <si>
    <t>$75.33B</t>
  </si>
  <si>
    <t>527.96M</t>
  </si>
  <si>
    <t>USDC</t>
  </si>
  <si>
    <t>$61.23B</t>
  </si>
  <si>
    <t>61.23B</t>
  </si>
  <si>
    <t>TRON</t>
  </si>
  <si>
    <t>TRX</t>
  </si>
  <si>
    <t>$25.93B</t>
  </si>
  <si>
    <t>94.82B</t>
  </si>
  <si>
    <t>Dogecoin</t>
  </si>
  <si>
    <t>DOGE</t>
  </si>
  <si>
    <t>$24.77B</t>
  </si>
  <si>
    <t>149.76B</t>
  </si>
  <si>
    <t>Cardano</t>
  </si>
  <si>
    <t>ADA</t>
  </si>
  <si>
    <t>$20.54B</t>
  </si>
  <si>
    <t>35.36B</t>
  </si>
  <si>
    <t>Pudgy Penguins</t>
  </si>
  <si>
    <t>PENGU</t>
  </si>
  <si>
    <t>$571.84M</t>
  </si>
  <si>
    <t>62.86B</t>
  </si>
  <si>
    <t>Walrus</t>
  </si>
  <si>
    <t>WAL</t>
  </si>
  <si>
    <t>$567M</t>
  </si>
  <si>
    <t>1.34B</t>
  </si>
  <si>
    <t>Raydium</t>
  </si>
  <si>
    <t>RAY</t>
  </si>
  <si>
    <t>$551.36M</t>
  </si>
  <si>
    <t>267.62M</t>
  </si>
  <si>
    <t>Core</t>
  </si>
  <si>
    <t>CORE</t>
  </si>
  <si>
    <t>$546.45M</t>
  </si>
  <si>
    <t>1B</t>
  </si>
  <si>
    <t>Tezos</t>
  </si>
  <si>
    <t>XTZ</t>
  </si>
  <si>
    <t>$545.72M</t>
  </si>
  <si>
    <t>1.04B</t>
  </si>
  <si>
    <t>Pyth Network</t>
  </si>
  <si>
    <t>PYTH</t>
  </si>
  <si>
    <t>$543.57M</t>
  </si>
  <si>
    <t>5.74B</t>
  </si>
  <si>
    <t>Flow</t>
  </si>
  <si>
    <t>FLOW</t>
  </si>
  <si>
    <t>$539.91M</t>
  </si>
  <si>
    <t>1.59B</t>
  </si>
  <si>
    <t>Maple Finance</t>
  </si>
  <si>
    <t>SYRUP</t>
  </si>
  <si>
    <t>$515.17M</t>
  </si>
  <si>
    <t>1.11B</t>
  </si>
  <si>
    <t>Decentraland</t>
  </si>
  <si>
    <t>MANA</t>
  </si>
  <si>
    <t>$493.58M</t>
  </si>
  <si>
    <t>1.96B</t>
  </si>
  <si>
    <t>TrueUSD</t>
  </si>
  <si>
    <t>TUSD</t>
  </si>
  <si>
    <t>$493.33M</t>
  </si>
  <si>
    <t>494.51M</t>
  </si>
  <si>
    <t>Fasttoken</t>
  </si>
  <si>
    <t>FTN</t>
  </si>
  <si>
    <t>$1.95B</t>
  </si>
  <si>
    <t>436.26M</t>
  </si>
  <si>
    <t>Jupiter Perps LP</t>
  </si>
  <si>
    <t>JLP</t>
  </si>
  <si>
    <t>$1.49B</t>
  </si>
  <si>
    <t>343.49M</t>
  </si>
  <si>
    <t>Zeebu</t>
  </si>
  <si>
    <t>ZBU</t>
  </si>
  <si>
    <t>$846.7M</t>
  </si>
  <si>
    <t>258.97M</t>
  </si>
  <si>
    <t>Fellaz</t>
  </si>
  <si>
    <t>FLZ</t>
  </si>
  <si>
    <t>$677.19M</t>
  </si>
  <si>
    <t>471.87M</t>
  </si>
  <si>
    <t>Usual USD</t>
  </si>
  <si>
    <t>USD0</t>
  </si>
  <si>
    <t>$652.01M</t>
  </si>
  <si>
    <t>653.46M</t>
  </si>
  <si>
    <t>Ondo US Dollar Yield</t>
  </si>
  <si>
    <t>USDY</t>
  </si>
  <si>
    <t>$635.98M</t>
  </si>
  <si>
    <t>581.35M</t>
  </si>
  <si>
    <t>Falcon USD</t>
  </si>
  <si>
    <t>USDf</t>
  </si>
  <si>
    <t>$563.5M</t>
  </si>
  <si>
    <t>563.65M</t>
  </si>
  <si>
    <t>Loaded Lions</t>
  </si>
  <si>
    <t>LION</t>
  </si>
  <si>
    <t>$546.47M</t>
  </si>
  <si>
    <t>33.16B</t>
  </si>
  <si>
    <t>would</t>
  </si>
  <si>
    <t>WOULD</t>
  </si>
  <si>
    <t>$494.41M</t>
  </si>
  <si>
    <t>999.45M</t>
  </si>
  <si>
    <t>WhiteRock</t>
  </si>
  <si>
    <t>WHITE</t>
  </si>
  <si>
    <t>$478.12M</t>
  </si>
  <si>
    <t>650B</t>
  </si>
  <si>
    <t>Ontology</t>
  </si>
  <si>
    <t>ONT</t>
  </si>
  <si>
    <t>$110.11M</t>
  </si>
  <si>
    <t>913.69M</t>
  </si>
  <si>
    <t>Request</t>
  </si>
  <si>
    <t>REQ</t>
  </si>
  <si>
    <t>$110.12M</t>
  </si>
  <si>
    <t>824.21M</t>
  </si>
  <si>
    <t>Paycoin</t>
  </si>
  <si>
    <t>PCI</t>
  </si>
  <si>
    <t>$109.85M</t>
  </si>
  <si>
    <t>1.05B</t>
  </si>
  <si>
    <t>COTI</t>
  </si>
  <si>
    <t>$109.59M</t>
  </si>
  <si>
    <t>2.17B</t>
  </si>
  <si>
    <t>Gravity (by Galxe)</t>
  </si>
  <si>
    <t>G</t>
  </si>
  <si>
    <t>$109.13M</t>
  </si>
  <si>
    <t>9.5B</t>
  </si>
  <si>
    <t>Terra</t>
  </si>
  <si>
    <t>LUNA</t>
  </si>
  <si>
    <t>$109.06M</t>
  </si>
  <si>
    <t>709.98M</t>
  </si>
  <si>
    <t>Solar</t>
  </si>
  <si>
    <t>SXP</t>
  </si>
  <si>
    <t>$108.68M</t>
  </si>
  <si>
    <t>646.86M</t>
  </si>
  <si>
    <t>Destra Network</t>
  </si>
  <si>
    <t>DSYNC</t>
  </si>
  <si>
    <t>$108.35M</t>
  </si>
  <si>
    <t>974.94M</t>
  </si>
  <si>
    <t>World Mobile Token</t>
  </si>
  <si>
    <t>WMTX</t>
  </si>
  <si>
    <t>$108.02M</t>
  </si>
  <si>
    <t>702.77M</t>
  </si>
  <si>
    <t>SKALE</t>
  </si>
  <si>
    <t>SKL</t>
  </si>
  <si>
    <t>$107.06M</t>
  </si>
  <si>
    <t>5.9B</t>
  </si>
  <si>
    <t>Usual</t>
  </si>
  <si>
    <t>USUAL</t>
  </si>
  <si>
    <t>$72.72M</t>
  </si>
  <si>
    <t>1.01B</t>
  </si>
  <si>
    <t>Arcblock</t>
  </si>
  <si>
    <t>ABT</t>
  </si>
  <si>
    <t>$72.68M</t>
  </si>
  <si>
    <t>98.55M</t>
  </si>
  <si>
    <t>Memecoin</t>
  </si>
  <si>
    <t>MEME</t>
  </si>
  <si>
    <t>$72.35M</t>
  </si>
  <si>
    <t>47.67B</t>
  </si>
  <si>
    <t>MiL.k</t>
  </si>
  <si>
    <t>MLK</t>
  </si>
  <si>
    <t>$72.36M</t>
  </si>
  <si>
    <t>470.44M</t>
  </si>
  <si>
    <t>dKargo</t>
  </si>
  <si>
    <t>DKA</t>
  </si>
  <si>
    <t>$72.37M</t>
  </si>
  <si>
    <t>4.68B</t>
  </si>
  <si>
    <t>AI Companions</t>
  </si>
  <si>
    <t>AIC</t>
  </si>
  <si>
    <t>$71.81M</t>
  </si>
  <si>
    <t>749.99M</t>
  </si>
  <si>
    <t>Degen</t>
  </si>
  <si>
    <t>DEGEN</t>
  </si>
  <si>
    <t>$71.33M</t>
  </si>
  <si>
    <t>22.09B</t>
  </si>
  <si>
    <t>Aevo</t>
  </si>
  <si>
    <t>AEVO</t>
  </si>
  <si>
    <t>$71.27M</t>
  </si>
  <si>
    <t>904.86M</t>
  </si>
  <si>
    <t>Spark</t>
  </si>
  <si>
    <t>SPK</t>
  </si>
  <si>
    <t>$71.5M</t>
  </si>
  <si>
    <t>1.7B</t>
  </si>
  <si>
    <t>Global Commercial Business</t>
  </si>
  <si>
    <t>GCB</t>
  </si>
  <si>
    <t>$71.47M</t>
  </si>
  <si>
    <t>1.2B</t>
  </si>
  <si>
    <t>NEM</t>
  </si>
  <si>
    <t>XEM</t>
  </si>
  <si>
    <t>$56.45M</t>
  </si>
  <si>
    <t>8.99B</t>
  </si>
  <si>
    <t>Humans.ai</t>
  </si>
  <si>
    <t>HEART</t>
  </si>
  <si>
    <t>$51.76M</t>
  </si>
  <si>
    <t>7.8B</t>
  </si>
  <si>
    <t>Oasys</t>
  </si>
  <si>
    <t>OAS</t>
  </si>
  <si>
    <t>$51.5M</t>
  </si>
  <si>
    <t>4.37B</t>
  </si>
  <si>
    <t>Smooth Love Potion</t>
  </si>
  <si>
    <t>SLP</t>
  </si>
  <si>
    <t>$51.48M</t>
  </si>
  <si>
    <t>41.08B</t>
  </si>
  <si>
    <t>Neutron</t>
  </si>
  <si>
    <t>NTRN</t>
  </si>
  <si>
    <t>$51.37M</t>
  </si>
  <si>
    <t>595.52M</t>
  </si>
  <si>
    <t>Eurite</t>
  </si>
  <si>
    <t>EURI</t>
  </si>
  <si>
    <t>$51.31M</t>
  </si>
  <si>
    <t>44.52M</t>
  </si>
  <si>
    <t>ANDY (ETH)</t>
  </si>
  <si>
    <t>ANDY</t>
  </si>
  <si>
    <t>$51.26M</t>
  </si>
  <si>
    <t>1T</t>
  </si>
  <si>
    <t>GameBuild</t>
  </si>
  <si>
    <t>GAME</t>
  </si>
  <si>
    <t>$50.98M</t>
  </si>
  <si>
    <t>17.72B</t>
  </si>
  <si>
    <t>Tornado Cash</t>
  </si>
  <si>
    <t>TORN</t>
  </si>
  <si>
    <t>$50.88M</t>
  </si>
  <si>
    <t>5.26M</t>
  </si>
  <si>
    <t>DeFi Pulse Index</t>
  </si>
  <si>
    <t>DPI</t>
  </si>
  <si>
    <t>$50.56M</t>
  </si>
  <si>
    <t>558.98K</t>
  </si>
  <si>
    <t>Kujira</t>
  </si>
  <si>
    <t>KUJI</t>
  </si>
  <si>
    <t>$37.1M</t>
  </si>
  <si>
    <t>122.34M</t>
  </si>
  <si>
    <t>Gains Network</t>
  </si>
  <si>
    <t>GNS</t>
  </si>
  <si>
    <t>$36.94M</t>
  </si>
  <si>
    <t>29.27M</t>
  </si>
  <si>
    <t>AVA (Travala)</t>
  </si>
  <si>
    <t>AVA</t>
  </si>
  <si>
    <t>$36.9M</t>
  </si>
  <si>
    <t>68.83M</t>
  </si>
  <si>
    <t>DEAPcoin</t>
  </si>
  <si>
    <t>DEP</t>
  </si>
  <si>
    <t>$36.78M</t>
  </si>
  <si>
    <t>29.54B</t>
  </si>
  <si>
    <t>The Arena</t>
  </si>
  <si>
    <t>ARENA</t>
  </si>
  <si>
    <t>$36.73M</t>
  </si>
  <si>
    <t>2.45B</t>
  </si>
  <si>
    <t>Dohrnii</t>
  </si>
  <si>
    <t>DHN</t>
  </si>
  <si>
    <t>$36.4M</t>
  </si>
  <si>
    <t>17.07M</t>
  </si>
  <si>
    <t>Ampleforth Governance Token</t>
  </si>
  <si>
    <t>FORTH</t>
  </si>
  <si>
    <t>$36.37M</t>
  </si>
  <si>
    <t>14.34M</t>
  </si>
  <si>
    <t>Metadium</t>
  </si>
  <si>
    <t>META</t>
  </si>
  <si>
    <t>$35.98M</t>
  </si>
  <si>
    <t>1.71B</t>
  </si>
  <si>
    <t>Shentu</t>
  </si>
  <si>
    <t>CTK</t>
  </si>
  <si>
    <t>$35.96M</t>
  </si>
  <si>
    <t>147.24M</t>
  </si>
  <si>
    <t>Nakamoto Games</t>
  </si>
  <si>
    <t>NAKA</t>
  </si>
  <si>
    <t>$35.84M</t>
  </si>
  <si>
    <t>105.76M</t>
  </si>
  <si>
    <t>Groestlcoin</t>
  </si>
  <si>
    <t>GRS</t>
  </si>
  <si>
    <t>$26.28M</t>
  </si>
  <si>
    <t>87.8M</t>
  </si>
  <si>
    <t>Sui Name Service</t>
  </si>
  <si>
    <t>NS</t>
  </si>
  <si>
    <t>$26.22M</t>
  </si>
  <si>
    <t>187.11M</t>
  </si>
  <si>
    <t>Haedal Protocol</t>
  </si>
  <si>
    <t>HAEDAL</t>
  </si>
  <si>
    <t>$26.07M</t>
  </si>
  <si>
    <t>203.75M</t>
  </si>
  <si>
    <t>Fractal Bitcoin</t>
  </si>
  <si>
    <t>FB</t>
  </si>
  <si>
    <t>$26.15M</t>
  </si>
  <si>
    <t>49.97M</t>
  </si>
  <si>
    <t>PlatON</t>
  </si>
  <si>
    <t>LAT</t>
  </si>
  <si>
    <t>$25.94M</t>
  </si>
  <si>
    <t>6.6B</t>
  </si>
  <si>
    <t>NFPrompt</t>
  </si>
  <si>
    <t>NFP</t>
  </si>
  <si>
    <t>$25.85M</t>
  </si>
  <si>
    <t>457.31M</t>
  </si>
  <si>
    <t>Orbiter Finance</t>
  </si>
  <si>
    <t>OBT</t>
  </si>
  <si>
    <t>$25.97M</t>
  </si>
  <si>
    <t>3.1B</t>
  </si>
  <si>
    <t>Covalent X Token</t>
  </si>
  <si>
    <t>CXT</t>
  </si>
  <si>
    <t>$25.88M</t>
  </si>
  <si>
    <t>974.89M</t>
  </si>
  <si>
    <t>OMG Network</t>
  </si>
  <si>
    <t>OMG</t>
  </si>
  <si>
    <t>$25.83M</t>
  </si>
  <si>
    <t>140.24M</t>
  </si>
  <si>
    <t>Radiant Capital</t>
  </si>
  <si>
    <t>RDNT</t>
  </si>
  <si>
    <t>$25.73M</t>
  </si>
  <si>
    <t>1.23B</t>
  </si>
  <si>
    <t>Klever Coin</t>
  </si>
  <si>
    <t>KLV</t>
  </si>
  <si>
    <t>$19.94M</t>
  </si>
  <si>
    <t>8.88B</t>
  </si>
  <si>
    <t>Pups (Bitcoin)</t>
  </si>
  <si>
    <t>PUPS</t>
  </si>
  <si>
    <t>$19.77M</t>
  </si>
  <si>
    <t>968.44M</t>
  </si>
  <si>
    <t>NATIX Network</t>
  </si>
  <si>
    <t>NATIX</t>
  </si>
  <si>
    <t>$19.74M</t>
  </si>
  <si>
    <t>16.13B</t>
  </si>
  <si>
    <t>ORIGYN</t>
  </si>
  <si>
    <t>OGY</t>
  </si>
  <si>
    <t>$19.76M</t>
  </si>
  <si>
    <t>7.82B</t>
  </si>
  <si>
    <t>Daddy Tate</t>
  </si>
  <si>
    <t>DADDY</t>
  </si>
  <si>
    <t>$19.72M</t>
  </si>
  <si>
    <t>599.63M</t>
  </si>
  <si>
    <t>Impossible Finance Launchpad</t>
  </si>
  <si>
    <t>IDIA</t>
  </si>
  <si>
    <t>$19.6M</t>
  </si>
  <si>
    <t>680M</t>
  </si>
  <si>
    <t>League of Kingdoms Arena</t>
  </si>
  <si>
    <t>LOKA</t>
  </si>
  <si>
    <t>$19.56M</t>
  </si>
  <si>
    <t>376.38M</t>
  </si>
  <si>
    <t>Mango</t>
  </si>
  <si>
    <t>MNGO</t>
  </si>
  <si>
    <t>$19.55M</t>
  </si>
  <si>
    <t>DAR Open Network</t>
  </si>
  <si>
    <t>D</t>
  </si>
  <si>
    <t>$19.51M</t>
  </si>
  <si>
    <t>647.87M</t>
  </si>
  <si>
    <t>Alaya Governance Token</t>
  </si>
  <si>
    <t>AGT</t>
  </si>
  <si>
    <t>$19.47M</t>
  </si>
  <si>
    <t>1.4B</t>
  </si>
  <si>
    <t>Port3 Network</t>
  </si>
  <si>
    <t>PORT3</t>
  </si>
  <si>
    <t>$15.61M</t>
  </si>
  <si>
    <t>353.95M</t>
  </si>
  <si>
    <t>SIX Token</t>
  </si>
  <si>
    <t>SIX</t>
  </si>
  <si>
    <t>$15.63M</t>
  </si>
  <si>
    <t>850.96M</t>
  </si>
  <si>
    <t>Cult DAO</t>
  </si>
  <si>
    <t>CULT</t>
  </si>
  <si>
    <t>$15.6M</t>
  </si>
  <si>
    <t>4.31T</t>
  </si>
  <si>
    <t>crow with knife</t>
  </si>
  <si>
    <t>CAW</t>
  </si>
  <si>
    <t>$15.35M</t>
  </si>
  <si>
    <t>769.86T</t>
  </si>
  <si>
    <t>Cortex</t>
  </si>
  <si>
    <t>CTXC</t>
  </si>
  <si>
    <t>$15.36M</t>
  </si>
  <si>
    <t>230.41M</t>
  </si>
  <si>
    <t>Paris Saint-Germain Fan Token</t>
  </si>
  <si>
    <t>PSG</t>
  </si>
  <si>
    <t>$15.31M</t>
  </si>
  <si>
    <t>9.55M</t>
  </si>
  <si>
    <t>Comtech Gold</t>
  </si>
  <si>
    <t>CGO</t>
  </si>
  <si>
    <t>$15.25M</t>
  </si>
  <si>
    <t>141K</t>
  </si>
  <si>
    <t>Definitive</t>
  </si>
  <si>
    <t>EDGE</t>
  </si>
  <si>
    <t>203.02M</t>
  </si>
  <si>
    <t>Contentos</t>
  </si>
  <si>
    <t>COS</t>
  </si>
  <si>
    <t>$15.19M</t>
  </si>
  <si>
    <t>5.17B</t>
  </si>
  <si>
    <t>Step Finance</t>
  </si>
  <si>
    <t>STEP</t>
  </si>
  <si>
    <t>$15.15M</t>
  </si>
  <si>
    <t>221.4M</t>
  </si>
  <si>
    <t>OctaSpace</t>
  </si>
  <si>
    <t>OCTA</t>
  </si>
  <si>
    <t>$11.95M</t>
  </si>
  <si>
    <t>37.22M</t>
  </si>
  <si>
    <t>Aura Finance</t>
  </si>
  <si>
    <t>AURA</t>
  </si>
  <si>
    <t>$11.96M</t>
  </si>
  <si>
    <t>65.6M</t>
  </si>
  <si>
    <t>PIBBLE</t>
  </si>
  <si>
    <t>PIB</t>
  </si>
  <si>
    <t>24.15B</t>
  </si>
  <si>
    <t>U2U Network</t>
  </si>
  <si>
    <t>U2U</t>
  </si>
  <si>
    <t>1.52B</t>
  </si>
  <si>
    <t>Persistence One</t>
  </si>
  <si>
    <t>XPRT</t>
  </si>
  <si>
    <t>213.36M</t>
  </si>
  <si>
    <t>TROLL (SOL)</t>
  </si>
  <si>
    <t>TROLL</t>
  </si>
  <si>
    <t>$11.92M</t>
  </si>
  <si>
    <t>998.98M</t>
  </si>
  <si>
    <t>WeFi</t>
  </si>
  <si>
    <t>WFI</t>
  </si>
  <si>
    <t>$11.85M</t>
  </si>
  <si>
    <t>28.13M</t>
  </si>
  <si>
    <t>Dora Factory</t>
  </si>
  <si>
    <t>DORA</t>
  </si>
  <si>
    <t>$11.81M</t>
  </si>
  <si>
    <t>537.27M</t>
  </si>
  <si>
    <t>Alon</t>
  </si>
  <si>
    <t>ALON</t>
  </si>
  <si>
    <t>$11.61M</t>
  </si>
  <si>
    <t>997.96M</t>
  </si>
  <si>
    <t>Beefy</t>
  </si>
  <si>
    <t>BIFI</t>
  </si>
  <si>
    <t>$11.75M</t>
  </si>
  <si>
    <t>80K</t>
  </si>
  <si>
    <t>Karate Combat</t>
  </si>
  <si>
    <t>KARATE</t>
  </si>
  <si>
    <t>$9.28M</t>
  </si>
  <si>
    <t>66.64B</t>
  </si>
  <si>
    <t>Efinity Token</t>
  </si>
  <si>
    <t>EFI</t>
  </si>
  <si>
    <t>$9.26M</t>
  </si>
  <si>
    <t>N/A</t>
  </si>
  <si>
    <t>86.91M</t>
  </si>
  <si>
    <t>Nura Labs</t>
  </si>
  <si>
    <t>NURA</t>
  </si>
  <si>
    <t>$9.17M</t>
  </si>
  <si>
    <t>4.87B</t>
  </si>
  <si>
    <t>Nexera</t>
  </si>
  <si>
    <t>NXRA</t>
  </si>
  <si>
    <t>1.02B</t>
  </si>
  <si>
    <t>Department Of Government Efficiency (dogegov.com)</t>
  </si>
  <si>
    <t>$9.25M</t>
  </si>
  <si>
    <t>979.12M</t>
  </si>
  <si>
    <t>moonpig</t>
  </si>
  <si>
    <t>MOONPIG</t>
  </si>
  <si>
    <t>$9.08M</t>
  </si>
  <si>
    <t>999.93M</t>
  </si>
  <si>
    <t>Aerobud</t>
  </si>
  <si>
    <t>AEROBUD</t>
  </si>
  <si>
    <t>$9.12M</t>
  </si>
  <si>
    <t>970M</t>
  </si>
  <si>
    <t>cheqd</t>
  </si>
  <si>
    <t>CHEQ</t>
  </si>
  <si>
    <t>642.49M</t>
  </si>
  <si>
    <t>Koma Inu</t>
  </si>
  <si>
    <t>KOMA</t>
  </si>
  <si>
    <t>$9.07M</t>
  </si>
  <si>
    <t>545.96M</t>
  </si>
  <si>
    <t>Pitbull</t>
  </si>
  <si>
    <t>PIT</t>
  </si>
  <si>
    <t>40.19P</t>
  </si>
  <si>
    <t>Venus LTC</t>
  </si>
  <si>
    <t>vLTC</t>
  </si>
  <si>
    <t>$7.04M</t>
  </si>
  <si>
    <t>4.14M</t>
  </si>
  <si>
    <t>KONET</t>
  </si>
  <si>
    <t>201.31M</t>
  </si>
  <si>
    <t>Creta World</t>
  </si>
  <si>
    <t>CRETA</t>
  </si>
  <si>
    <t>$7.03M</t>
  </si>
  <si>
    <t>1.46B</t>
  </si>
  <si>
    <t>WazirX</t>
  </si>
  <si>
    <t>WRX</t>
  </si>
  <si>
    <t>$7.02M</t>
  </si>
  <si>
    <t>381.85M</t>
  </si>
  <si>
    <t>Baanx</t>
  </si>
  <si>
    <t>BXX</t>
  </si>
  <si>
    <t>191.31M</t>
  </si>
  <si>
    <t>SwarmNode.ai</t>
  </si>
  <si>
    <t>SNAI</t>
  </si>
  <si>
    <t>902.46M</t>
  </si>
  <si>
    <t>Hathor</t>
  </si>
  <si>
    <t>HTR</t>
  </si>
  <si>
    <t>$6.99M</t>
  </si>
  <si>
    <t>463.58M</t>
  </si>
  <si>
    <t>Venus DAI</t>
  </si>
  <si>
    <t>vDAI</t>
  </si>
  <si>
    <t>$6.96M</t>
  </si>
  <si>
    <t>274.53M</t>
  </si>
  <si>
    <t>trac (Ordinals)</t>
  </si>
  <si>
    <t>TRAC</t>
  </si>
  <si>
    <t>$6.95M</t>
  </si>
  <si>
    <t>21M</t>
  </si>
  <si>
    <t>AirSwap</t>
  </si>
  <si>
    <t>AST</t>
  </si>
  <si>
    <t>$6.91M</t>
  </si>
  <si>
    <t>174.47M</t>
  </si>
  <si>
    <t>nubcat</t>
  </si>
  <si>
    <t>NUB</t>
  </si>
  <si>
    <t>$5.25M</t>
  </si>
  <si>
    <t>950M</t>
  </si>
  <si>
    <t>CrossFi</t>
  </si>
  <si>
    <t>XFI</t>
  </si>
  <si>
    <t>$5.24M</t>
  </si>
  <si>
    <t>58.23M</t>
  </si>
  <si>
    <t>Tron Bull</t>
  </si>
  <si>
    <t>BULL</t>
  </si>
  <si>
    <t>$5.18M</t>
  </si>
  <si>
    <t>950.27M</t>
  </si>
  <si>
    <t>Openfabric AI</t>
  </si>
  <si>
    <t>OFN</t>
  </si>
  <si>
    <t>$5.17M</t>
  </si>
  <si>
    <t>174.84M</t>
  </si>
  <si>
    <t>Electric Vehicle Zone</t>
  </si>
  <si>
    <t>EVZ</t>
  </si>
  <si>
    <t>$5.16M</t>
  </si>
  <si>
    <t>2.25B</t>
  </si>
  <si>
    <t>Metahero</t>
  </si>
  <si>
    <t>HERO</t>
  </si>
  <si>
    <t>$5.15M</t>
  </si>
  <si>
    <t>5.09B</t>
  </si>
  <si>
    <t>Inter Milan Fan Token</t>
  </si>
  <si>
    <t>INTER</t>
  </si>
  <si>
    <t>9.7M</t>
  </si>
  <si>
    <t>Darkpino</t>
  </si>
  <si>
    <t>DPINO</t>
  </si>
  <si>
    <t>$5.14M</t>
  </si>
  <si>
    <t>991.83M</t>
  </si>
  <si>
    <t>Velas</t>
  </si>
  <si>
    <t>VLX</t>
  </si>
  <si>
    <t>2.72B</t>
  </si>
  <si>
    <t>Abelian</t>
  </si>
  <si>
    <t>ABEL</t>
  </si>
  <si>
    <t>$5.11M</t>
  </si>
  <si>
    <t>102.56M</t>
  </si>
  <si>
    <t>Electra Protocol</t>
  </si>
  <si>
    <t>XEP</t>
  </si>
  <si>
    <t>$4.1M</t>
  </si>
  <si>
    <t>18.21B</t>
  </si>
  <si>
    <t>Kin</t>
  </si>
  <si>
    <t>KIN</t>
  </si>
  <si>
    <t>$4.06M</t>
  </si>
  <si>
    <t>2.75T</t>
  </si>
  <si>
    <t>KiloEx</t>
  </si>
  <si>
    <t>KILO</t>
  </si>
  <si>
    <t>$4.04M</t>
  </si>
  <si>
    <t>211.7M</t>
  </si>
  <si>
    <t>Privasea AI</t>
  </si>
  <si>
    <t>PRAI</t>
  </si>
  <si>
    <t>$4.02M</t>
  </si>
  <si>
    <t>206.03M</t>
  </si>
  <si>
    <t>MAD</t>
  </si>
  <si>
    <t>$3.98M</t>
  </si>
  <si>
    <t>999.97B</t>
  </si>
  <si>
    <t>Robonomics.network</t>
  </si>
  <si>
    <t>XRT</t>
  </si>
  <si>
    <t>$4M</t>
  </si>
  <si>
    <t>1.7M</t>
  </si>
  <si>
    <t>Alitas</t>
  </si>
  <si>
    <t>ALT</t>
  </si>
  <si>
    <t>$3.99M</t>
  </si>
  <si>
    <t>120M</t>
  </si>
  <si>
    <t>Bytecoin</t>
  </si>
  <si>
    <t>BCN</t>
  </si>
  <si>
    <t>184.06B</t>
  </si>
  <si>
    <t>Morpheus.Network</t>
  </si>
  <si>
    <t>MNW</t>
  </si>
  <si>
    <t>$3.97M</t>
  </si>
  <si>
    <t>47.89M</t>
  </si>
  <si>
    <t>WELF</t>
  </si>
  <si>
    <t>$3.94M</t>
  </si>
  <si>
    <t>7.43M</t>
  </si>
  <si>
    <t>Cypherium</t>
  </si>
  <si>
    <t>CPH</t>
  </si>
  <si>
    <t>$3.23M</t>
  </si>
  <si>
    <t>382.95M</t>
  </si>
  <si>
    <t>Dingocoin</t>
  </si>
  <si>
    <t>DINGO</t>
  </si>
  <si>
    <t>113.75B</t>
  </si>
  <si>
    <t>IBStoken</t>
  </si>
  <si>
    <t>IBS</t>
  </si>
  <si>
    <t>4.02B</t>
  </si>
  <si>
    <t>AIT Protocol</t>
  </si>
  <si>
    <t>AIT</t>
  </si>
  <si>
    <t>$3.22M</t>
  </si>
  <si>
    <t>294.58M</t>
  </si>
  <si>
    <t>Bitcoin 2</t>
  </si>
  <si>
    <t>BTC2</t>
  </si>
  <si>
    <t>18.34M</t>
  </si>
  <si>
    <t>OmniFlix Network</t>
  </si>
  <si>
    <t>FLIX</t>
  </si>
  <si>
    <t>250.75M</t>
  </si>
  <si>
    <t>TRVL (Dtravel)</t>
  </si>
  <si>
    <t>TRVL</t>
  </si>
  <si>
    <t>$3.21M</t>
  </si>
  <si>
    <t>416.64M</t>
  </si>
  <si>
    <t>DeBox</t>
  </si>
  <si>
    <t>BOX</t>
  </si>
  <si>
    <t>302.73M</t>
  </si>
  <si>
    <t>Akita Inu</t>
  </si>
  <si>
    <t>AKITA</t>
  </si>
  <si>
    <t>$3.2M</t>
  </si>
  <si>
    <t>68.07T</t>
  </si>
  <si>
    <t>Hive Intelligence</t>
  </si>
  <si>
    <t>HINT</t>
  </si>
  <si>
    <t>$3.18M</t>
  </si>
  <si>
    <t>460.37M</t>
  </si>
  <si>
    <t>Sentio AI</t>
  </si>
  <si>
    <t>SEN</t>
  </si>
  <si>
    <t>$2.58M</t>
  </si>
  <si>
    <t>98M</t>
  </si>
  <si>
    <t>Sylo</t>
  </si>
  <si>
    <t>SYLO</t>
  </si>
  <si>
    <t>6.08B</t>
  </si>
  <si>
    <t>PornRocket</t>
  </si>
  <si>
    <t>PORNROCKET</t>
  </si>
  <si>
    <t>$2.57M</t>
  </si>
  <si>
    <t>382.55T</t>
  </si>
  <si>
    <t>FNCY</t>
  </si>
  <si>
    <t>Hoge Finance</t>
  </si>
  <si>
    <t>HOGE</t>
  </si>
  <si>
    <t>$2.51M</t>
  </si>
  <si>
    <t>393.4B</t>
  </si>
  <si>
    <t>Big Data Protocol</t>
  </si>
  <si>
    <t>BDP</t>
  </si>
  <si>
    <t>$2.56M</t>
  </si>
  <si>
    <t>52.85M</t>
  </si>
  <si>
    <t>Byte</t>
  </si>
  <si>
    <t>BYTE</t>
  </si>
  <si>
    <t>$2.53M</t>
  </si>
  <si>
    <t>964.46B</t>
  </si>
  <si>
    <t>Universe Boss Coin</t>
  </si>
  <si>
    <t>UBC</t>
  </si>
  <si>
    <t>ADAMANT Messenger</t>
  </si>
  <si>
    <t>ADM</t>
  </si>
  <si>
    <t>$2.52M</t>
  </si>
  <si>
    <t>110.37M</t>
  </si>
  <si>
    <t>CHADETTE</t>
  </si>
  <si>
    <t>967.15M</t>
  </si>
  <si>
    <t>NULS</t>
  </si>
  <si>
    <t>$2M</t>
  </si>
  <si>
    <t>112.88M</t>
  </si>
  <si>
    <t>Quq</t>
  </si>
  <si>
    <t>QUQ</t>
  </si>
  <si>
    <t>RigoBlock</t>
  </si>
  <si>
    <t>GRG</t>
  </si>
  <si>
    <t>$1.99M</t>
  </si>
  <si>
    <t>2.7M</t>
  </si>
  <si>
    <t>LEGIT</t>
  </si>
  <si>
    <t>978.95M</t>
  </si>
  <si>
    <t>Super Zero Protocol</t>
  </si>
  <si>
    <t>SERO</t>
  </si>
  <si>
    <t>436.07M</t>
  </si>
  <si>
    <t>Letit</t>
  </si>
  <si>
    <t>LETIT</t>
  </si>
  <si>
    <t>63.99M</t>
  </si>
  <si>
    <t>GoChain</t>
  </si>
  <si>
    <t>GO</t>
  </si>
  <si>
    <t>$1.98M</t>
  </si>
  <si>
    <t>1.31B</t>
  </si>
  <si>
    <t>BlackCardCoin</t>
  </si>
  <si>
    <t>BCCOIN</t>
  </si>
  <si>
    <t>10M</t>
  </si>
  <si>
    <t>Habibi</t>
  </si>
  <si>
    <t>HABIBI</t>
  </si>
  <si>
    <t>$1.97M</t>
  </si>
  <si>
    <t>814.34M</t>
  </si>
  <si>
    <t>Striker League</t>
  </si>
  <si>
    <t>MBS</t>
  </si>
  <si>
    <t>625.43M</t>
  </si>
  <si>
    <t>Ctrl Wallet</t>
  </si>
  <si>
    <t>CTRL</t>
  </si>
  <si>
    <t>$1.6M</t>
  </si>
  <si>
    <t>203.92M</t>
  </si>
  <si>
    <t>Etherisc DIP Token</t>
  </si>
  <si>
    <t>DIP</t>
  </si>
  <si>
    <t>$1.59M</t>
  </si>
  <si>
    <t>239.74M</t>
  </si>
  <si>
    <t>Rubic</t>
  </si>
  <si>
    <t>RBC</t>
  </si>
  <si>
    <t>165.28M</t>
  </si>
  <si>
    <t>BizAuto</t>
  </si>
  <si>
    <t>BIZA</t>
  </si>
  <si>
    <t>2.67B</t>
  </si>
  <si>
    <t>BIGFACTS</t>
  </si>
  <si>
    <t>$1.58M</t>
  </si>
  <si>
    <t>462.04M</t>
  </si>
  <si>
    <t>Didi Bam Bam</t>
  </si>
  <si>
    <t>DDBAM</t>
  </si>
  <si>
    <t>Rebel Cars</t>
  </si>
  <si>
    <t>RC</t>
  </si>
  <si>
    <t>206.35M</t>
  </si>
  <si>
    <t>Vulcan Forged (LAVA)</t>
  </si>
  <si>
    <t>LAVA</t>
  </si>
  <si>
    <t>$1.57M</t>
  </si>
  <si>
    <t>245.89M</t>
  </si>
  <si>
    <t>DeHub</t>
  </si>
  <si>
    <t>DHB</t>
  </si>
  <si>
    <t>4.07B</t>
  </si>
  <si>
    <t>Mubarakah</t>
  </si>
  <si>
    <t>MUBARAKAH</t>
  </si>
  <si>
    <t>TOWER</t>
  </si>
  <si>
    <t>$1.24M</t>
  </si>
  <si>
    <t>2.91B</t>
  </si>
  <si>
    <t>Octokn</t>
  </si>
  <si>
    <t>OTK</t>
  </si>
  <si>
    <t>303.13M</t>
  </si>
  <si>
    <t>StarSlax</t>
  </si>
  <si>
    <t>SSLX</t>
  </si>
  <si>
    <t>2.5B</t>
  </si>
  <si>
    <t>Ertha</t>
  </si>
  <si>
    <t>ERTHA</t>
  </si>
  <si>
    <t>1.97B</t>
  </si>
  <si>
    <t>SafeCoin</t>
  </si>
  <si>
    <t>SAFE</t>
  </si>
  <si>
    <t>27.73M</t>
  </si>
  <si>
    <t>Dolos The Bully</t>
  </si>
  <si>
    <t>BULLY</t>
  </si>
  <si>
    <t>960.55M</t>
  </si>
  <si>
    <t>LanLan Cat</t>
  </si>
  <si>
    <t>LANLAN</t>
  </si>
  <si>
    <t>$1.23M</t>
  </si>
  <si>
    <t>Torum</t>
  </si>
  <si>
    <t>XTM</t>
  </si>
  <si>
    <t>$1.21M</t>
  </si>
  <si>
    <t>194.09M</t>
  </si>
  <si>
    <t>SUNCAT</t>
  </si>
  <si>
    <t>$1.22M</t>
  </si>
  <si>
    <t>HOME3</t>
  </si>
  <si>
    <t>HTS</t>
  </si>
  <si>
    <t>79.5M</t>
  </si>
  <si>
    <t>Price_Clean</t>
  </si>
  <si>
    <t>1h change(%)</t>
  </si>
  <si>
    <t>Volume (24) USD_cleaned</t>
  </si>
  <si>
    <t>Circulating_Supply_Clean</t>
  </si>
  <si>
    <t>Market_Cap_Clean</t>
  </si>
  <si>
    <t/>
  </si>
  <si>
    <t>Vowel_BCD</t>
  </si>
  <si>
    <t>Volume_Rank</t>
  </si>
  <si>
    <t>Top 10</t>
  </si>
  <si>
    <t>Metric</t>
  </si>
  <si>
    <t>Coin 1</t>
  </si>
  <si>
    <t>Coin 2</t>
  </si>
  <si>
    <t>Price</t>
  </si>
  <si>
    <t>Volume (24h)</t>
  </si>
  <si>
    <t>KPI Indicators</t>
  </si>
  <si>
    <t>Volume Difference</t>
  </si>
  <si>
    <t>Market Cap Difference</t>
  </si>
  <si>
    <t>Circulating Supply Difference</t>
  </si>
  <si>
    <t>Price Category</t>
  </si>
  <si>
    <t>Volume (24)</t>
  </si>
  <si>
    <t>Coin</t>
  </si>
  <si>
    <t>Volume</t>
  </si>
  <si>
    <t>Total Vol</t>
  </si>
  <si>
    <t>Others</t>
  </si>
  <si>
    <t>Row Labels</t>
  </si>
  <si>
    <t>Grand Total</t>
  </si>
  <si>
    <t>Above $50</t>
  </si>
  <si>
    <t>chart coin</t>
  </si>
  <si>
    <t>chart volume</t>
  </si>
  <si>
    <t>Current Price</t>
  </si>
  <si>
    <t>1h Change %</t>
  </si>
  <si>
    <t xml:space="preserve">Previous 1h Price </t>
  </si>
  <si>
    <t>Price Change</t>
  </si>
  <si>
    <t>Price Range</t>
  </si>
  <si>
    <t>Price Change Rank</t>
  </si>
  <si>
    <t>Previous 1h Price</t>
  </si>
  <si>
    <t>24h Change (%)</t>
  </si>
  <si>
    <t>7d Change (%)</t>
  </si>
  <si>
    <t>7d Price</t>
  </si>
  <si>
    <t>24h Price</t>
  </si>
  <si>
    <t>Average Downfall (%)</t>
  </si>
  <si>
    <t>Total Coins</t>
  </si>
  <si>
    <t>$0-$0.05</t>
  </si>
  <si>
    <t>$0.05-$0.5</t>
  </si>
  <si>
    <t>$0.5-$5</t>
  </si>
  <si>
    <t>$5-$50</t>
  </si>
  <si>
    <t>&gt;$50</t>
  </si>
  <si>
    <t>Sum of Total Coins</t>
  </si>
  <si>
    <t>Min. of Average Downfall (%)</t>
  </si>
  <si>
    <t>Average Downfall %</t>
  </si>
  <si>
    <t>CRYPTO  ANALYTICS  DASHBOARD</t>
  </si>
  <si>
    <t>Market • Price • Volume • Investment Insights</t>
  </si>
  <si>
    <t>Top Coin</t>
  </si>
  <si>
    <t>Top Price</t>
  </si>
  <si>
    <t>Top Volume</t>
  </si>
  <si>
    <t>Total Volume (24)</t>
  </si>
  <si>
    <t>Market Overview</t>
  </si>
  <si>
    <t>[9 AM to 5 PM Time Based Chart]</t>
  </si>
  <si>
    <t>LOW PRICE COIN INSIGHTS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</si>
</sst>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164" formatCode="_(&quot;$&quot;* #,##0_);_(&quot;$&quot;* \(#,##0\);_(&quot;$&quot;* &quot;-&quot;??_);_(@_)"/>
    <numFmt numFmtId="165" formatCode="0.00,,\ &quot;M&quot;"/>
    <numFmt numFmtId="166" formatCode="0.000"/>
  </numFmts>
  <fonts count="8">
    <font>
      <sz val="11"/>
      <color theme="1"/>
      <name val="Aptos Narrow"/>
      <family val="2"/>
      <scheme val="minor"/>
    </font>
    <font>
      <sz val="11"/>
      <color theme="1"/>
      <name val="Aptos Narrow"/>
      <family val="2"/>
      <scheme val="minor"/>
    </font>
    <font>
      <b/>
      <sz val="11"/>
      <color theme="1"/>
      <name val="Aptos Narrow"/>
      <family val="2"/>
      <scheme val="minor"/>
    </font>
    <font>
      <sz val="10"/>
      <color theme="1"/>
      <name val="Arial Unicode MS"/>
    </font>
    <font>
      <sz val="18"/>
      <color theme="1"/>
      <name val="Aptos Narrow"/>
      <family val="2"/>
      <scheme val="minor"/>
    </font>
    <font>
      <sz val="20"/>
      <color theme="1"/>
      <name val="Aptos Narrow"/>
      <family val="2"/>
      <scheme val="minor"/>
    </font>
    <font>
      <sz val="22"/>
      <color theme="1"/>
      <name val="Aptos Narrow"/>
      <family val="2"/>
      <scheme val="minor"/>
    </font>
    <font>
      <sz val="16"/>
      <color theme="1"/>
      <name val="Aptos Narrow"/>
      <family val="2"/>
      <scheme val="minor"/>
    </font>
  </fonts>
  <fills count="8">
    <fill>
      <patternFill patternType="none"/>
    </fill>
    <fill>
      <patternFill patternType="gray125"/>
    </fill>
    <fill>
      <patternFill patternType="solid">
        <fgColor theme="7"/>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3" tint="0.89999084444715716"/>
        <bgColor indexed="64"/>
      </patternFill>
    </fill>
  </fills>
  <borders count="23">
    <border>
      <left/>
      <right/>
      <top/>
      <bottom/>
      <diagonal/>
    </border>
    <border>
      <left style="thin">
        <color auto="1"/>
      </left>
      <right style="thin">
        <color auto="1"/>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auto="1"/>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12">
    <xf numFmtId="0" fontId="0" fillId="0" borderId="0" xfId="0"/>
    <xf numFmtId="0" fontId="0" fillId="0" borderId="0" xfId="0"/>
    <xf numFmtId="0" fontId="2" fillId="0" borderId="1" xfId="0" applyFont="1" applyBorder="1" applyAlignment="1">
      <alignment horizontal="center" vertical="top"/>
    </xf>
    <xf numFmtId="10" fontId="0" fillId="0" borderId="0" xfId="0" applyNumberFormat="1"/>
    <xf numFmtId="44" fontId="0" fillId="0" borderId="0" xfId="1" applyFont="1"/>
    <xf numFmtId="3" fontId="2" fillId="0" borderId="0" xfId="0" applyNumberFormat="1" applyFont="1"/>
    <xf numFmtId="3" fontId="0" fillId="0" borderId="0" xfId="0" applyNumberFormat="1"/>
    <xf numFmtId="164" fontId="0" fillId="0" borderId="0" xfId="1" applyNumberFormat="1" applyFont="1"/>
    <xf numFmtId="0" fontId="2" fillId="0" borderId="2" xfId="0" applyFont="1" applyBorder="1" applyAlignment="1">
      <alignment horizontal="center" vertical="top"/>
    </xf>
    <xf numFmtId="0" fontId="2" fillId="0" borderId="3" xfId="0" applyFont="1" applyBorder="1" applyAlignment="1">
      <alignment horizontal="center" vertical="top"/>
    </xf>
    <xf numFmtId="44" fontId="2" fillId="0" borderId="4" xfId="1" applyFont="1" applyBorder="1"/>
    <xf numFmtId="10" fontId="2" fillId="0" borderId="4" xfId="0" applyNumberFormat="1" applyFont="1" applyBorder="1"/>
    <xf numFmtId="164" fontId="2" fillId="0" borderId="4" xfId="1" applyNumberFormat="1" applyFont="1" applyBorder="1"/>
    <xf numFmtId="3" fontId="2" fillId="0" borderId="5" xfId="0" applyNumberFormat="1" applyFont="1" applyBorder="1"/>
    <xf numFmtId="44" fontId="2" fillId="0" borderId="6" xfId="1" applyFont="1" applyFill="1" applyBorder="1" applyAlignment="1">
      <alignment horizontal="center" vertical="top"/>
    </xf>
    <xf numFmtId="1" fontId="0" fillId="0" borderId="0" xfId="0" applyNumberFormat="1"/>
    <xf numFmtId="1" fontId="2" fillId="0" borderId="4" xfId="0" applyNumberFormat="1" applyFont="1" applyBorder="1"/>
    <xf numFmtId="164" fontId="2" fillId="0" borderId="4" xfId="1" applyNumberFormat="1" applyFont="1" applyFill="1" applyBorder="1" applyAlignment="1">
      <alignment horizontal="center" vertical="top"/>
    </xf>
    <xf numFmtId="0" fontId="2" fillId="0" borderId="0" xfId="0" applyFont="1"/>
    <xf numFmtId="0" fontId="3" fillId="0" borderId="0" xfId="0" applyFont="1" applyAlignment="1">
      <alignment vertical="center" wrapText="1"/>
    </xf>
    <xf numFmtId="0" fontId="0" fillId="0" borderId="1" xfId="0" applyBorder="1"/>
    <xf numFmtId="0" fontId="2" fillId="0" borderId="1" xfId="0" applyFont="1" applyBorder="1"/>
    <xf numFmtId="1" fontId="0" fillId="0" borderId="1" xfId="0" applyNumberFormat="1" applyBorder="1"/>
    <xf numFmtId="0" fontId="3" fillId="0" borderId="0" xfId="0" applyFont="1" applyAlignment="1">
      <alignment vertical="center"/>
    </xf>
    <xf numFmtId="44"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vertical="center"/>
    </xf>
    <xf numFmtId="6" fontId="0" fillId="0" borderId="0" xfId="0" applyNumberFormat="1"/>
    <xf numFmtId="0" fontId="0" fillId="0" borderId="0" xfId="0" applyAlignment="1">
      <alignment horizontal="left" indent="1"/>
    </xf>
    <xf numFmtId="0" fontId="0" fillId="0" borderId="0" xfId="0" applyAlignment="1">
      <alignment horizontal="left" indent="2"/>
    </xf>
    <xf numFmtId="0" fontId="2" fillId="2" borderId="1" xfId="0" applyFont="1" applyFill="1" applyBorder="1"/>
    <xf numFmtId="0" fontId="0" fillId="0" borderId="0" xfId="0" applyBorder="1"/>
    <xf numFmtId="8" fontId="0" fillId="0" borderId="0" xfId="0" applyNumberFormat="1"/>
    <xf numFmtId="0" fontId="2" fillId="0" borderId="13" xfId="0" applyFont="1" applyBorder="1" applyAlignment="1">
      <alignment horizontal="center" vertical="top"/>
    </xf>
    <xf numFmtId="0" fontId="2" fillId="0" borderId="1" xfId="0" applyFont="1" applyFill="1" applyBorder="1" applyAlignment="1">
      <alignment horizontal="center" vertical="top"/>
    </xf>
    <xf numFmtId="0" fontId="0" fillId="0" borderId="0" xfId="2" applyNumberFormat="1" applyFont="1"/>
    <xf numFmtId="2" fontId="2" fillId="0" borderId="1" xfId="2" applyNumberFormat="1" applyFont="1" applyBorder="1"/>
    <xf numFmtId="166" fontId="0" fillId="0" borderId="0" xfId="0" applyNumberFormat="1"/>
    <xf numFmtId="0" fontId="0" fillId="5" borderId="0" xfId="0" applyFill="1" applyBorder="1"/>
    <xf numFmtId="0" fontId="0" fillId="5" borderId="22" xfId="0" applyFill="1" applyBorder="1"/>
    <xf numFmtId="0" fontId="0" fillId="5" borderId="5" xfId="0" applyFill="1" applyBorder="1"/>
    <xf numFmtId="0" fontId="6" fillId="3" borderId="14"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19" xfId="0" applyFont="1" applyFill="1" applyBorder="1" applyAlignment="1">
      <alignment horizontal="center" vertical="center"/>
    </xf>
    <xf numFmtId="0" fontId="2" fillId="4" borderId="20" xfId="0" applyFont="1" applyFill="1" applyBorder="1" applyAlignment="1">
      <alignment horizontal="center" vertical="center"/>
    </xf>
    <xf numFmtId="0" fontId="2" fillId="4" borderId="7" xfId="0" applyFont="1" applyFill="1" applyBorder="1" applyAlignment="1">
      <alignment horizontal="center" vertical="center"/>
    </xf>
    <xf numFmtId="0" fontId="2" fillId="4" borderId="9" xfId="0" applyFont="1" applyFill="1" applyBorder="1" applyAlignment="1">
      <alignment horizontal="center" vertical="center"/>
    </xf>
    <xf numFmtId="0" fontId="5" fillId="6" borderId="10" xfId="0" applyFont="1" applyFill="1" applyBorder="1" applyAlignment="1">
      <alignment horizontal="center" vertical="center"/>
    </xf>
    <xf numFmtId="0" fontId="5" fillId="6" borderId="8" xfId="0" applyFont="1" applyFill="1" applyBorder="1" applyAlignment="1">
      <alignment horizontal="center" vertical="center"/>
    </xf>
    <xf numFmtId="0" fontId="5" fillId="6" borderId="11" xfId="0" applyFont="1" applyFill="1" applyBorder="1" applyAlignment="1">
      <alignment horizontal="center" vertical="center"/>
    </xf>
    <xf numFmtId="0" fontId="5" fillId="6" borderId="12" xfId="0" applyFont="1" applyFill="1" applyBorder="1" applyAlignment="1">
      <alignment horizontal="center" vertical="center"/>
    </xf>
    <xf numFmtId="0" fontId="5" fillId="6" borderId="4" xfId="0" applyFont="1" applyFill="1" applyBorder="1" applyAlignment="1">
      <alignment horizontal="center" vertical="center"/>
    </xf>
    <xf numFmtId="0" fontId="5" fillId="6" borderId="5" xfId="0" applyFont="1" applyFill="1" applyBorder="1" applyAlignment="1">
      <alignment horizontal="center" vertical="center"/>
    </xf>
    <xf numFmtId="0" fontId="4" fillId="6" borderId="10" xfId="0" applyFont="1" applyFill="1" applyBorder="1" applyAlignment="1">
      <alignment horizontal="center" vertical="center"/>
    </xf>
    <xf numFmtId="0" fontId="4" fillId="6" borderId="8" xfId="0" applyFont="1" applyFill="1" applyBorder="1" applyAlignment="1">
      <alignment horizontal="center" vertic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4" xfId="0" applyFont="1" applyFill="1" applyBorder="1" applyAlignment="1">
      <alignment horizontal="center" vertical="center"/>
    </xf>
    <xf numFmtId="0" fontId="4" fillId="6" borderId="5" xfId="0" applyFont="1" applyFill="1" applyBorder="1" applyAlignment="1">
      <alignment horizontal="center" vertical="center"/>
    </xf>
    <xf numFmtId="0" fontId="4" fillId="7" borderId="10" xfId="0" applyFont="1" applyFill="1" applyBorder="1" applyAlignment="1">
      <alignment horizontal="center" vertical="center"/>
    </xf>
    <xf numFmtId="0" fontId="4" fillId="7" borderId="8" xfId="0" applyFont="1" applyFill="1" applyBorder="1" applyAlignment="1">
      <alignment horizontal="center" vertical="center"/>
    </xf>
    <xf numFmtId="0" fontId="4" fillId="7" borderId="11" xfId="0" applyFont="1" applyFill="1" applyBorder="1" applyAlignment="1">
      <alignment horizontal="center" vertical="center"/>
    </xf>
    <xf numFmtId="0" fontId="4" fillId="7" borderId="12" xfId="0" applyFont="1" applyFill="1" applyBorder="1" applyAlignment="1">
      <alignment horizontal="center" vertical="center"/>
    </xf>
    <xf numFmtId="0" fontId="4" fillId="7" borderId="4" xfId="0" applyFont="1" applyFill="1" applyBorder="1" applyAlignment="1">
      <alignment horizontal="center" vertical="center"/>
    </xf>
    <xf numFmtId="0" fontId="4" fillId="7" borderId="5" xfId="0" applyFont="1" applyFill="1" applyBorder="1" applyAlignment="1">
      <alignment horizontal="center" vertical="center"/>
    </xf>
    <xf numFmtId="165" fontId="4" fillId="7" borderId="10" xfId="0" applyNumberFormat="1" applyFont="1" applyFill="1" applyBorder="1" applyAlignment="1">
      <alignment horizontal="center" vertical="center"/>
    </xf>
    <xf numFmtId="165" fontId="4" fillId="7" borderId="8" xfId="0" applyNumberFormat="1" applyFont="1" applyFill="1" applyBorder="1" applyAlignment="1">
      <alignment horizontal="center" vertical="center"/>
    </xf>
    <xf numFmtId="165" fontId="4" fillId="7" borderId="11" xfId="0" applyNumberFormat="1" applyFont="1" applyFill="1" applyBorder="1" applyAlignment="1">
      <alignment horizontal="center" vertical="center"/>
    </xf>
    <xf numFmtId="165" fontId="4" fillId="7" borderId="12" xfId="0" applyNumberFormat="1" applyFont="1" applyFill="1" applyBorder="1" applyAlignment="1">
      <alignment horizontal="center" vertical="center"/>
    </xf>
    <xf numFmtId="165" fontId="4" fillId="7" borderId="4" xfId="0" applyNumberFormat="1" applyFont="1" applyFill="1" applyBorder="1" applyAlignment="1">
      <alignment horizontal="center" vertical="center"/>
    </xf>
    <xf numFmtId="165" fontId="4" fillId="7" borderId="5" xfId="0" applyNumberFormat="1" applyFont="1" applyFill="1" applyBorder="1" applyAlignment="1">
      <alignment horizontal="center" vertical="center"/>
    </xf>
    <xf numFmtId="2" fontId="4" fillId="7" borderId="10" xfId="0" applyNumberFormat="1" applyFont="1" applyFill="1" applyBorder="1" applyAlignment="1">
      <alignment horizontal="center" vertical="center"/>
    </xf>
    <xf numFmtId="0" fontId="0" fillId="5" borderId="10" xfId="0" applyFill="1" applyBorder="1" applyAlignment="1">
      <alignment horizontal="center" vertical="center"/>
    </xf>
    <xf numFmtId="0" fontId="0" fillId="5" borderId="8" xfId="0" applyFill="1" applyBorder="1" applyAlignment="1">
      <alignment horizontal="center" vertical="center"/>
    </xf>
    <xf numFmtId="0" fontId="0" fillId="5" borderId="11" xfId="0" applyFill="1" applyBorder="1" applyAlignment="1">
      <alignment horizontal="center" vertical="center"/>
    </xf>
    <xf numFmtId="0" fontId="0" fillId="5" borderId="21" xfId="0" applyFill="1" applyBorder="1" applyAlignment="1">
      <alignment horizontal="center" vertical="center"/>
    </xf>
    <xf numFmtId="0" fontId="0" fillId="5" borderId="0" xfId="0" applyFill="1" applyBorder="1" applyAlignment="1">
      <alignment horizontal="center" vertical="center"/>
    </xf>
    <xf numFmtId="0" fontId="0" fillId="5" borderId="22" xfId="0" applyFill="1" applyBorder="1" applyAlignment="1">
      <alignment horizontal="center" vertical="center"/>
    </xf>
    <xf numFmtId="0" fontId="0" fillId="5" borderId="12" xfId="0" applyFill="1" applyBorder="1" applyAlignment="1">
      <alignment horizontal="center" vertical="center"/>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6" fillId="5" borderId="0" xfId="0" applyFont="1" applyFill="1" applyBorder="1" applyAlignment="1">
      <alignment horizontal="center" vertical="center"/>
    </xf>
    <xf numFmtId="0" fontId="6" fillId="5" borderId="21" xfId="0" applyFont="1" applyFill="1" applyBorder="1" applyAlignment="1">
      <alignment horizontal="center" vertical="center"/>
    </xf>
    <xf numFmtId="0" fontId="4" fillId="6" borderId="10"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21" xfId="0" applyFill="1" applyBorder="1" applyAlignment="1">
      <alignment horizontal="center" vertical="center" wrapText="1"/>
    </xf>
    <xf numFmtId="0" fontId="0" fillId="6" borderId="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4" xfId="0" applyFill="1" applyBorder="1" applyAlignment="1">
      <alignment horizontal="center" vertical="center" wrapText="1"/>
    </xf>
    <xf numFmtId="0" fontId="0" fillId="6" borderId="5" xfId="0" applyFill="1" applyBorder="1" applyAlignment="1">
      <alignment horizontal="center" vertical="center" wrapText="1"/>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5" xfId="0" applyFill="1" applyBorder="1" applyAlignment="1">
      <alignment horizontal="center" vertical="center"/>
    </xf>
    <xf numFmtId="0" fontId="6" fillId="5" borderId="22" xfId="0" applyFont="1" applyFill="1" applyBorder="1" applyAlignment="1">
      <alignment horizontal="center" vertical="center"/>
    </xf>
    <xf numFmtId="2" fontId="4" fillId="7" borderId="8" xfId="0" applyNumberFormat="1" applyFont="1" applyFill="1" applyBorder="1" applyAlignment="1">
      <alignment horizontal="center" vertical="center"/>
    </xf>
    <xf numFmtId="2" fontId="4" fillId="7" borderId="11" xfId="0" applyNumberFormat="1" applyFont="1" applyFill="1" applyBorder="1" applyAlignment="1">
      <alignment horizontal="center" vertical="center"/>
    </xf>
    <xf numFmtId="2" fontId="4" fillId="7" borderId="12" xfId="0" applyNumberFormat="1" applyFont="1" applyFill="1" applyBorder="1" applyAlignment="1">
      <alignment horizontal="center" vertical="center"/>
    </xf>
    <xf numFmtId="2" fontId="4" fillId="7" borderId="4" xfId="0" applyNumberFormat="1" applyFont="1" applyFill="1" applyBorder="1" applyAlignment="1">
      <alignment horizontal="center" vertical="center"/>
    </xf>
    <xf numFmtId="2" fontId="4" fillId="7" borderId="5" xfId="0" applyNumberFormat="1" applyFont="1" applyFill="1" applyBorder="1" applyAlignment="1">
      <alignment horizontal="center" vertical="center"/>
    </xf>
    <xf numFmtId="0" fontId="7" fillId="7" borderId="10" xfId="0" applyFont="1" applyFill="1" applyBorder="1" applyAlignment="1">
      <alignment horizontal="center" vertical="center"/>
    </xf>
    <xf numFmtId="0" fontId="7" fillId="7" borderId="11" xfId="0" applyFont="1" applyFill="1" applyBorder="1" applyAlignment="1">
      <alignment horizontal="center" vertical="center"/>
    </xf>
    <xf numFmtId="0" fontId="7" fillId="7" borderId="12"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8" xfId="0" applyFont="1" applyFill="1" applyBorder="1" applyAlignment="1">
      <alignment horizontal="center" vertical="center"/>
    </xf>
    <xf numFmtId="0" fontId="7" fillId="7" borderId="4" xfId="0" applyFont="1" applyFill="1" applyBorder="1" applyAlignment="1">
      <alignment horizontal="center" vertical="center"/>
    </xf>
  </cellXfs>
  <cellStyles count="3">
    <cellStyle name="Currency" xfId="1" builtinId="4"/>
    <cellStyle name="Normal" xfId="0" builtinId="0"/>
    <cellStyle name="Per cent" xfId="2" builtinId="5"/>
  </cellStyles>
  <dxfs count="18">
    <dxf>
      <numFmt numFmtId="34" formatCode="_(&quot;$&quot;* #,##0.00_);_(&quot;$&quot;* \(#,##0.00\);_(&quot;$&quot;* &quot;-&quot;??_);_(@_)"/>
    </dxf>
    <dxf>
      <numFmt numFmtId="14" formatCode="0.00%"/>
    </dxf>
    <dxf>
      <numFmt numFmtId="34" formatCode="_(&quot;$&quot;* #,##0.00_);_(&quot;$&quot;* \(#,##0.00\);_(&quot;$&quot;* &quot;-&quot;??_);_(@_)"/>
    </dxf>
    <dxf>
      <numFmt numFmtId="0" formatCode="General"/>
    </dxf>
    <dxf>
      <numFmt numFmtId="0" formatCode="General"/>
    </dxf>
    <dxf>
      <numFmt numFmtId="0" formatCode="General"/>
    </dxf>
    <dxf>
      <numFmt numFmtId="0" formatCode="General"/>
    </dxf>
    <dxf>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numFmt numFmtId="1" formatCode="0"/>
    </dxf>
    <dxf>
      <font>
        <b val="0"/>
        <i val="0"/>
        <strike val="0"/>
        <condense val="0"/>
        <extend val="0"/>
        <outline val="0"/>
        <shadow val="0"/>
        <u val="none"/>
        <vertAlign val="baseline"/>
        <sz val="11"/>
        <color theme="1"/>
        <name val="Aptos Narrow"/>
        <family val="2"/>
        <scheme val="minor"/>
      </font>
    </dxf>
    <dxf>
      <numFmt numFmtId="3" formatCode="#,##0"/>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numFmt numFmtId="14" formatCode="0.00%"/>
    </dxf>
    <dxf>
      <font>
        <b val="0"/>
        <i val="0"/>
        <strike val="0"/>
        <condense val="0"/>
        <extend val="0"/>
        <outline val="0"/>
        <shadow val="0"/>
        <u val="none"/>
        <vertAlign val="baseline"/>
        <sz val="11"/>
        <color theme="1"/>
        <name val="Aptos Narrow"/>
        <family val="2"/>
        <scheme val="minor"/>
      </font>
    </dxf>
    <dxf>
      <border outline="0">
        <top style="medium">
          <color indexed="64"/>
        </top>
      </border>
    </dxf>
    <dxf>
      <border outline="0">
        <bottom style="medium">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t>Top 10 Crypto Coins by 24-Hour Volume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'Cleaned Data'!$A$2</c:f>
              <c:strCache>
                <c:ptCount val="1"/>
                <c:pt idx="0">
                  <c:v>Bitcoin</c:v>
                </c:pt>
              </c:strCache>
            </c:strRef>
          </c:tx>
          <c:spPr>
            <a:solidFill>
              <a:schemeClr val="accent1"/>
            </a:solidFill>
            <a:ln>
              <a:noFill/>
            </a:ln>
            <a:effectLst/>
          </c:spPr>
          <c:invertIfNegative val="0"/>
          <c:cat>
            <c:strRef>
              <c:f>'Cleaned Data'!$F$1</c:f>
              <c:strCache>
                <c:ptCount val="1"/>
                <c:pt idx="0">
                  <c:v> Volume (24) USD_cleaned </c:v>
                </c:pt>
              </c:strCache>
            </c:strRef>
          </c:cat>
          <c:val>
            <c:numRef>
              <c:f>'Cleaned Data'!$F$2</c:f>
              <c:numCache>
                <c:formatCode>_("$"* #,##0_);_("$"* \(#,##0\);_("$"* "-"??_);_(@_)</c:formatCode>
                <c:ptCount val="1"/>
                <c:pt idx="0">
                  <c:v>43170391288</c:v>
                </c:pt>
              </c:numCache>
            </c:numRef>
          </c:val>
          <c:extLst>
            <c:ext xmlns:c16="http://schemas.microsoft.com/office/drawing/2014/chart" uri="{C3380CC4-5D6E-409C-BE32-E72D297353CC}">
              <c16:uniqueId val="{00000000-1491-467E-B9F1-75460D4C920C}"/>
            </c:ext>
          </c:extLst>
        </c:ser>
        <c:ser>
          <c:idx val="1"/>
          <c:order val="1"/>
          <c:tx>
            <c:strRef>
              <c:f>'Cleaned Data'!$A$3</c:f>
              <c:strCache>
                <c:ptCount val="1"/>
                <c:pt idx="0">
                  <c:v>Ethereum</c:v>
                </c:pt>
              </c:strCache>
            </c:strRef>
          </c:tx>
          <c:spPr>
            <a:solidFill>
              <a:schemeClr val="accent2"/>
            </a:solidFill>
            <a:ln>
              <a:noFill/>
            </a:ln>
            <a:effectLst/>
          </c:spPr>
          <c:invertIfNegative val="0"/>
          <c:cat>
            <c:strRef>
              <c:f>'Cleaned Data'!$F$1</c:f>
              <c:strCache>
                <c:ptCount val="1"/>
                <c:pt idx="0">
                  <c:v> Volume (24) USD_cleaned </c:v>
                </c:pt>
              </c:strCache>
            </c:strRef>
          </c:cat>
          <c:val>
            <c:numRef>
              <c:f>'Cleaned Data'!$F$3</c:f>
              <c:numCache>
                <c:formatCode>_("$"* #,##0_);_("$"* \(#,##0\);_("$"* "-"??_);_(@_)</c:formatCode>
                <c:ptCount val="1"/>
                <c:pt idx="0">
                  <c:v>14942260356</c:v>
                </c:pt>
              </c:numCache>
            </c:numRef>
          </c:val>
          <c:extLst>
            <c:ext xmlns:c16="http://schemas.microsoft.com/office/drawing/2014/chart" uri="{C3380CC4-5D6E-409C-BE32-E72D297353CC}">
              <c16:uniqueId val="{00000001-1491-467E-B9F1-75460D4C920C}"/>
            </c:ext>
          </c:extLst>
        </c:ser>
        <c:ser>
          <c:idx val="2"/>
          <c:order val="2"/>
          <c:tx>
            <c:strRef>
              <c:f>'Cleaned Data'!$A$4</c:f>
              <c:strCache>
                <c:ptCount val="1"/>
                <c:pt idx="0">
                  <c:v>Tether</c:v>
                </c:pt>
              </c:strCache>
            </c:strRef>
          </c:tx>
          <c:spPr>
            <a:solidFill>
              <a:schemeClr val="accent3"/>
            </a:solidFill>
            <a:ln>
              <a:noFill/>
            </a:ln>
            <a:effectLst/>
          </c:spPr>
          <c:invertIfNegative val="0"/>
          <c:cat>
            <c:strRef>
              <c:f>'Cleaned Data'!$F$1</c:f>
              <c:strCache>
                <c:ptCount val="1"/>
                <c:pt idx="0">
                  <c:v> Volume (24) USD_cleaned </c:v>
                </c:pt>
              </c:strCache>
            </c:strRef>
          </c:cat>
          <c:val>
            <c:numRef>
              <c:f>'Cleaned Data'!$F$4</c:f>
            </c:numRef>
          </c:val>
          <c:extLst>
            <c:ext xmlns:c16="http://schemas.microsoft.com/office/drawing/2014/chart" uri="{C3380CC4-5D6E-409C-BE32-E72D297353CC}">
              <c16:uniqueId val="{00000002-1491-467E-B9F1-75460D4C920C}"/>
            </c:ext>
          </c:extLst>
        </c:ser>
        <c:ser>
          <c:idx val="3"/>
          <c:order val="3"/>
          <c:tx>
            <c:strRef>
              <c:f>'Cleaned Data'!$A$5</c:f>
              <c:strCache>
                <c:ptCount val="1"/>
                <c:pt idx="0">
                  <c:v>XRP</c:v>
                </c:pt>
              </c:strCache>
            </c:strRef>
          </c:tx>
          <c:spPr>
            <a:solidFill>
              <a:schemeClr val="accent4"/>
            </a:solidFill>
            <a:ln>
              <a:noFill/>
            </a:ln>
            <a:effectLst/>
          </c:spPr>
          <c:invertIfNegative val="0"/>
          <c:cat>
            <c:strRef>
              <c:f>'Cleaned Data'!$F$1</c:f>
              <c:strCache>
                <c:ptCount val="1"/>
                <c:pt idx="0">
                  <c:v> Volume (24) USD_cleaned </c:v>
                </c:pt>
              </c:strCache>
            </c:strRef>
          </c:cat>
          <c:val>
            <c:numRef>
              <c:f>'Cleaned Data'!$F$5</c:f>
            </c:numRef>
          </c:val>
          <c:extLst>
            <c:ext xmlns:c16="http://schemas.microsoft.com/office/drawing/2014/chart" uri="{C3380CC4-5D6E-409C-BE32-E72D297353CC}">
              <c16:uniqueId val="{00000003-1491-467E-B9F1-75460D4C920C}"/>
            </c:ext>
          </c:extLst>
        </c:ser>
        <c:ser>
          <c:idx val="4"/>
          <c:order val="4"/>
          <c:tx>
            <c:strRef>
              <c:f>'Cleaned Data'!$A$6</c:f>
              <c:strCache>
                <c:ptCount val="1"/>
                <c:pt idx="0">
                  <c:v>BNB</c:v>
                </c:pt>
              </c:strCache>
            </c:strRef>
          </c:tx>
          <c:spPr>
            <a:solidFill>
              <a:schemeClr val="accent5"/>
            </a:solidFill>
            <a:ln>
              <a:noFill/>
            </a:ln>
            <a:effectLst/>
          </c:spPr>
          <c:invertIfNegative val="0"/>
          <c:cat>
            <c:strRef>
              <c:f>'Cleaned Data'!$F$1</c:f>
              <c:strCache>
                <c:ptCount val="1"/>
                <c:pt idx="0">
                  <c:v> Volume (24) USD_cleaned </c:v>
                </c:pt>
              </c:strCache>
            </c:strRef>
          </c:cat>
          <c:val>
            <c:numRef>
              <c:f>'Cleaned Data'!$F$6</c:f>
              <c:numCache>
                <c:formatCode>_("$"* #,##0_);_("$"* \(#,##0\);_("$"* "-"??_);_(@_)</c:formatCode>
                <c:ptCount val="1"/>
                <c:pt idx="0">
                  <c:v>1497928447</c:v>
                </c:pt>
              </c:numCache>
            </c:numRef>
          </c:val>
          <c:extLst>
            <c:ext xmlns:c16="http://schemas.microsoft.com/office/drawing/2014/chart" uri="{C3380CC4-5D6E-409C-BE32-E72D297353CC}">
              <c16:uniqueId val="{00000004-1491-467E-B9F1-75460D4C920C}"/>
            </c:ext>
          </c:extLst>
        </c:ser>
        <c:ser>
          <c:idx val="5"/>
          <c:order val="5"/>
          <c:tx>
            <c:strRef>
              <c:f>'Cleaned Data'!$A$7</c:f>
              <c:strCache>
                <c:ptCount val="1"/>
                <c:pt idx="0">
                  <c:v>Solana</c:v>
                </c:pt>
              </c:strCache>
            </c:strRef>
          </c:tx>
          <c:spPr>
            <a:solidFill>
              <a:schemeClr val="accent6"/>
            </a:solidFill>
            <a:ln>
              <a:noFill/>
            </a:ln>
            <a:effectLst/>
          </c:spPr>
          <c:invertIfNegative val="0"/>
          <c:cat>
            <c:strRef>
              <c:f>'Cleaned Data'!$F$1</c:f>
              <c:strCache>
                <c:ptCount val="1"/>
                <c:pt idx="0">
                  <c:v> Volume (24) USD_cleaned </c:v>
                </c:pt>
              </c:strCache>
            </c:strRef>
          </c:cat>
          <c:val>
            <c:numRef>
              <c:f>'Cleaned Data'!$F$7</c:f>
            </c:numRef>
          </c:val>
          <c:extLst>
            <c:ext xmlns:c16="http://schemas.microsoft.com/office/drawing/2014/chart" uri="{C3380CC4-5D6E-409C-BE32-E72D297353CC}">
              <c16:uniqueId val="{00000005-1491-467E-B9F1-75460D4C920C}"/>
            </c:ext>
          </c:extLst>
        </c:ser>
        <c:ser>
          <c:idx val="6"/>
          <c:order val="6"/>
          <c:tx>
            <c:strRef>
              <c:f>'Cleaned Data'!$A$8</c:f>
              <c:strCache>
                <c:ptCount val="1"/>
                <c:pt idx="0">
                  <c:v>USDC</c:v>
                </c:pt>
              </c:strCache>
            </c:strRef>
          </c:tx>
          <c:spPr>
            <a:solidFill>
              <a:schemeClr val="accent1">
                <a:lumMod val="60000"/>
              </a:schemeClr>
            </a:solidFill>
            <a:ln>
              <a:noFill/>
            </a:ln>
            <a:effectLst/>
          </c:spPr>
          <c:invertIfNegative val="0"/>
          <c:cat>
            <c:strRef>
              <c:f>'Cleaned Data'!$F$1</c:f>
              <c:strCache>
                <c:ptCount val="1"/>
                <c:pt idx="0">
                  <c:v> Volume (24) USD_cleaned </c:v>
                </c:pt>
              </c:strCache>
            </c:strRef>
          </c:cat>
          <c:val>
            <c:numRef>
              <c:f>'Cleaned Data'!$F$8</c:f>
              <c:numCache>
                <c:formatCode>_("$"* #,##0_);_("$"* \(#,##0\);_("$"* "-"??_);_(@_)</c:formatCode>
                <c:ptCount val="1"/>
                <c:pt idx="0">
                  <c:v>8208315257</c:v>
                </c:pt>
              </c:numCache>
            </c:numRef>
          </c:val>
          <c:extLst>
            <c:ext xmlns:c16="http://schemas.microsoft.com/office/drawing/2014/chart" uri="{C3380CC4-5D6E-409C-BE32-E72D297353CC}">
              <c16:uniqueId val="{00000006-1491-467E-B9F1-75460D4C920C}"/>
            </c:ext>
          </c:extLst>
        </c:ser>
        <c:ser>
          <c:idx val="7"/>
          <c:order val="7"/>
          <c:tx>
            <c:strRef>
              <c:f>'Cleaned Data'!$A$9</c:f>
              <c:strCache>
                <c:ptCount val="1"/>
                <c:pt idx="0">
                  <c:v>TRON</c:v>
                </c:pt>
              </c:strCache>
            </c:strRef>
          </c:tx>
          <c:spPr>
            <a:solidFill>
              <a:schemeClr val="accent2">
                <a:lumMod val="60000"/>
              </a:schemeClr>
            </a:solidFill>
            <a:ln>
              <a:noFill/>
            </a:ln>
            <a:effectLst/>
          </c:spPr>
          <c:invertIfNegative val="0"/>
          <c:cat>
            <c:strRef>
              <c:f>'Cleaned Data'!$F$1</c:f>
              <c:strCache>
                <c:ptCount val="1"/>
                <c:pt idx="0">
                  <c:v> Volume (24) USD_cleaned </c:v>
                </c:pt>
              </c:strCache>
            </c:strRef>
          </c:cat>
          <c:val>
            <c:numRef>
              <c:f>'Cleaned Data'!$F$9</c:f>
            </c:numRef>
          </c:val>
          <c:extLst>
            <c:ext xmlns:c16="http://schemas.microsoft.com/office/drawing/2014/chart" uri="{C3380CC4-5D6E-409C-BE32-E72D297353CC}">
              <c16:uniqueId val="{00000007-1491-467E-B9F1-75460D4C920C}"/>
            </c:ext>
          </c:extLst>
        </c:ser>
        <c:ser>
          <c:idx val="8"/>
          <c:order val="8"/>
          <c:tx>
            <c:strRef>
              <c:f>'Cleaned Data'!$A$10</c:f>
              <c:strCache>
                <c:ptCount val="1"/>
                <c:pt idx="0">
                  <c:v>Dogecoin</c:v>
                </c:pt>
              </c:strCache>
            </c:strRef>
          </c:tx>
          <c:spPr>
            <a:solidFill>
              <a:schemeClr val="accent3">
                <a:lumMod val="60000"/>
              </a:schemeClr>
            </a:solidFill>
            <a:ln>
              <a:noFill/>
            </a:ln>
            <a:effectLst/>
          </c:spPr>
          <c:invertIfNegative val="0"/>
          <c:cat>
            <c:strRef>
              <c:f>'Cleaned Data'!$F$1</c:f>
              <c:strCache>
                <c:ptCount val="1"/>
                <c:pt idx="0">
                  <c:v> Volume (24) USD_cleaned </c:v>
                </c:pt>
              </c:strCache>
            </c:strRef>
          </c:cat>
          <c:val>
            <c:numRef>
              <c:f>'Cleaned Data'!$F$10</c:f>
              <c:numCache>
                <c:formatCode>_("$"* #,##0_);_("$"* \(#,##0\);_("$"* "-"??_);_(@_)</c:formatCode>
                <c:ptCount val="1"/>
                <c:pt idx="0">
                  <c:v>781433558</c:v>
                </c:pt>
              </c:numCache>
            </c:numRef>
          </c:val>
          <c:extLst>
            <c:ext xmlns:c16="http://schemas.microsoft.com/office/drawing/2014/chart" uri="{C3380CC4-5D6E-409C-BE32-E72D297353CC}">
              <c16:uniqueId val="{00000008-1491-467E-B9F1-75460D4C920C}"/>
            </c:ext>
          </c:extLst>
        </c:ser>
        <c:ser>
          <c:idx val="9"/>
          <c:order val="9"/>
          <c:tx>
            <c:strRef>
              <c:f>'Cleaned Data'!$A$11</c:f>
              <c:strCache>
                <c:ptCount val="1"/>
                <c:pt idx="0">
                  <c:v>Cardano</c:v>
                </c:pt>
              </c:strCache>
            </c:strRef>
          </c:tx>
          <c:spPr>
            <a:solidFill>
              <a:schemeClr val="accent4">
                <a:lumMod val="60000"/>
              </a:schemeClr>
            </a:solidFill>
            <a:ln>
              <a:noFill/>
            </a:ln>
            <a:effectLst/>
          </c:spPr>
          <c:invertIfNegative val="0"/>
          <c:cat>
            <c:strRef>
              <c:f>'Cleaned Data'!$F$1</c:f>
              <c:strCache>
                <c:ptCount val="1"/>
                <c:pt idx="0">
                  <c:v> Volume (24) USD_cleaned </c:v>
                </c:pt>
              </c:strCache>
            </c:strRef>
          </c:cat>
          <c:val>
            <c:numRef>
              <c:f>'Cleaned Data'!$F$11</c:f>
              <c:numCache>
                <c:formatCode>_("$"* #,##0_);_("$"* \(#,##0\);_("$"* "-"??_);_(@_)</c:formatCode>
                <c:ptCount val="1"/>
                <c:pt idx="0">
                  <c:v>539447597</c:v>
                </c:pt>
              </c:numCache>
            </c:numRef>
          </c:val>
          <c:extLst>
            <c:ext xmlns:c16="http://schemas.microsoft.com/office/drawing/2014/chart" uri="{C3380CC4-5D6E-409C-BE32-E72D297353CC}">
              <c16:uniqueId val="{00000009-1491-467E-B9F1-75460D4C920C}"/>
            </c:ext>
          </c:extLst>
        </c:ser>
        <c:ser>
          <c:idx val="10"/>
          <c:order val="10"/>
          <c:tx>
            <c:strRef>
              <c:f>'Cleaned Data'!$A$12</c:f>
              <c:strCache>
                <c:ptCount val="1"/>
                <c:pt idx="0">
                  <c:v>Pudgy Penguins</c:v>
                </c:pt>
              </c:strCache>
            </c:strRef>
          </c:tx>
          <c:spPr>
            <a:solidFill>
              <a:schemeClr val="accent5">
                <a:lumMod val="60000"/>
              </a:schemeClr>
            </a:solidFill>
            <a:ln>
              <a:noFill/>
            </a:ln>
            <a:effectLst/>
          </c:spPr>
          <c:invertIfNegative val="0"/>
          <c:cat>
            <c:strRef>
              <c:f>'Cleaned Data'!$F$1</c:f>
              <c:strCache>
                <c:ptCount val="1"/>
                <c:pt idx="0">
                  <c:v> Volume (24) USD_cleaned </c:v>
                </c:pt>
              </c:strCache>
            </c:strRef>
          </c:cat>
          <c:val>
            <c:numRef>
              <c:f>'Cleaned Data'!$F$12</c:f>
            </c:numRef>
          </c:val>
          <c:extLst>
            <c:ext xmlns:c16="http://schemas.microsoft.com/office/drawing/2014/chart" uri="{C3380CC4-5D6E-409C-BE32-E72D297353CC}">
              <c16:uniqueId val="{0000000A-1491-467E-B9F1-75460D4C920C}"/>
            </c:ext>
          </c:extLst>
        </c:ser>
        <c:ser>
          <c:idx val="11"/>
          <c:order val="11"/>
          <c:tx>
            <c:strRef>
              <c:f>'Cleaned Data'!$A$13</c:f>
              <c:strCache>
                <c:ptCount val="1"/>
                <c:pt idx="0">
                  <c:v>Walrus</c:v>
                </c:pt>
              </c:strCache>
            </c:strRef>
          </c:tx>
          <c:spPr>
            <a:solidFill>
              <a:schemeClr val="accent6">
                <a:lumMod val="60000"/>
              </a:schemeClr>
            </a:solidFill>
            <a:ln>
              <a:noFill/>
            </a:ln>
            <a:effectLst/>
          </c:spPr>
          <c:invertIfNegative val="0"/>
          <c:cat>
            <c:strRef>
              <c:f>'Cleaned Data'!$F$1</c:f>
              <c:strCache>
                <c:ptCount val="1"/>
                <c:pt idx="0">
                  <c:v> Volume (24) USD_cleaned </c:v>
                </c:pt>
              </c:strCache>
            </c:strRef>
          </c:cat>
          <c:val>
            <c:numRef>
              <c:f>'Cleaned Data'!$F$13</c:f>
            </c:numRef>
          </c:val>
          <c:extLst>
            <c:ext xmlns:c16="http://schemas.microsoft.com/office/drawing/2014/chart" uri="{C3380CC4-5D6E-409C-BE32-E72D297353CC}">
              <c16:uniqueId val="{0000000B-1491-467E-B9F1-75460D4C920C}"/>
            </c:ext>
          </c:extLst>
        </c:ser>
        <c:ser>
          <c:idx val="12"/>
          <c:order val="12"/>
          <c:tx>
            <c:strRef>
              <c:f>'Cleaned Data'!$A$14</c:f>
              <c:strCache>
                <c:ptCount val="1"/>
                <c:pt idx="0">
                  <c:v>Raydium</c:v>
                </c:pt>
              </c:strCache>
            </c:strRef>
          </c:tx>
          <c:spPr>
            <a:solidFill>
              <a:schemeClr val="accent1">
                <a:lumMod val="80000"/>
                <a:lumOff val="20000"/>
              </a:schemeClr>
            </a:solidFill>
            <a:ln>
              <a:noFill/>
            </a:ln>
            <a:effectLst/>
          </c:spPr>
          <c:invertIfNegative val="0"/>
          <c:cat>
            <c:strRef>
              <c:f>'Cleaned Data'!$F$1</c:f>
              <c:strCache>
                <c:ptCount val="1"/>
                <c:pt idx="0">
                  <c:v> Volume (24) USD_cleaned </c:v>
                </c:pt>
              </c:strCache>
            </c:strRef>
          </c:cat>
          <c:val>
            <c:numRef>
              <c:f>'Cleaned Data'!$F$14</c:f>
            </c:numRef>
          </c:val>
          <c:extLst>
            <c:ext xmlns:c16="http://schemas.microsoft.com/office/drawing/2014/chart" uri="{C3380CC4-5D6E-409C-BE32-E72D297353CC}">
              <c16:uniqueId val="{0000000C-1491-467E-B9F1-75460D4C920C}"/>
            </c:ext>
          </c:extLst>
        </c:ser>
        <c:ser>
          <c:idx val="13"/>
          <c:order val="13"/>
          <c:tx>
            <c:strRef>
              <c:f>'Cleaned Data'!$A$15</c:f>
              <c:strCache>
                <c:ptCount val="1"/>
                <c:pt idx="0">
                  <c:v>Core</c:v>
                </c:pt>
              </c:strCache>
            </c:strRef>
          </c:tx>
          <c:spPr>
            <a:solidFill>
              <a:schemeClr val="accent2">
                <a:lumMod val="80000"/>
                <a:lumOff val="20000"/>
              </a:schemeClr>
            </a:solidFill>
            <a:ln>
              <a:noFill/>
            </a:ln>
            <a:effectLst/>
          </c:spPr>
          <c:invertIfNegative val="0"/>
          <c:cat>
            <c:strRef>
              <c:f>'Cleaned Data'!$F$1</c:f>
              <c:strCache>
                <c:ptCount val="1"/>
                <c:pt idx="0">
                  <c:v> Volume (24) USD_cleaned </c:v>
                </c:pt>
              </c:strCache>
            </c:strRef>
          </c:cat>
          <c:val>
            <c:numRef>
              <c:f>'Cleaned Data'!$F$15</c:f>
            </c:numRef>
          </c:val>
          <c:extLst>
            <c:ext xmlns:c16="http://schemas.microsoft.com/office/drawing/2014/chart" uri="{C3380CC4-5D6E-409C-BE32-E72D297353CC}">
              <c16:uniqueId val="{0000000D-1491-467E-B9F1-75460D4C920C}"/>
            </c:ext>
          </c:extLst>
        </c:ser>
        <c:ser>
          <c:idx val="14"/>
          <c:order val="14"/>
          <c:tx>
            <c:strRef>
              <c:f>'Cleaned Data'!$A$16</c:f>
              <c:strCache>
                <c:ptCount val="1"/>
                <c:pt idx="0">
                  <c:v>Tezos</c:v>
                </c:pt>
              </c:strCache>
            </c:strRef>
          </c:tx>
          <c:spPr>
            <a:solidFill>
              <a:schemeClr val="accent3">
                <a:lumMod val="80000"/>
                <a:lumOff val="20000"/>
              </a:schemeClr>
            </a:solidFill>
            <a:ln>
              <a:noFill/>
            </a:ln>
            <a:effectLst/>
          </c:spPr>
          <c:invertIfNegative val="0"/>
          <c:cat>
            <c:strRef>
              <c:f>'Cleaned Data'!$F$1</c:f>
              <c:strCache>
                <c:ptCount val="1"/>
                <c:pt idx="0">
                  <c:v> Volume (24) USD_cleaned </c:v>
                </c:pt>
              </c:strCache>
            </c:strRef>
          </c:cat>
          <c:val>
            <c:numRef>
              <c:f>'Cleaned Data'!$F$16</c:f>
            </c:numRef>
          </c:val>
          <c:extLst>
            <c:ext xmlns:c16="http://schemas.microsoft.com/office/drawing/2014/chart" uri="{C3380CC4-5D6E-409C-BE32-E72D297353CC}">
              <c16:uniqueId val="{0000000E-1491-467E-B9F1-75460D4C920C}"/>
            </c:ext>
          </c:extLst>
        </c:ser>
        <c:ser>
          <c:idx val="15"/>
          <c:order val="15"/>
          <c:tx>
            <c:strRef>
              <c:f>'Cleaned Data'!$A$17</c:f>
              <c:strCache>
                <c:ptCount val="1"/>
                <c:pt idx="0">
                  <c:v>Pyth Network</c:v>
                </c:pt>
              </c:strCache>
            </c:strRef>
          </c:tx>
          <c:spPr>
            <a:solidFill>
              <a:schemeClr val="accent4">
                <a:lumMod val="80000"/>
                <a:lumOff val="20000"/>
              </a:schemeClr>
            </a:solidFill>
            <a:ln>
              <a:noFill/>
            </a:ln>
            <a:effectLst/>
          </c:spPr>
          <c:invertIfNegative val="0"/>
          <c:cat>
            <c:strRef>
              <c:f>'Cleaned Data'!$F$1</c:f>
              <c:strCache>
                <c:ptCount val="1"/>
                <c:pt idx="0">
                  <c:v> Volume (24) USD_cleaned </c:v>
                </c:pt>
              </c:strCache>
            </c:strRef>
          </c:cat>
          <c:val>
            <c:numRef>
              <c:f>'Cleaned Data'!$F$17</c:f>
            </c:numRef>
          </c:val>
          <c:extLst>
            <c:ext xmlns:c16="http://schemas.microsoft.com/office/drawing/2014/chart" uri="{C3380CC4-5D6E-409C-BE32-E72D297353CC}">
              <c16:uniqueId val="{0000000F-1491-467E-B9F1-75460D4C920C}"/>
            </c:ext>
          </c:extLst>
        </c:ser>
        <c:ser>
          <c:idx val="16"/>
          <c:order val="16"/>
          <c:tx>
            <c:strRef>
              <c:f>'Cleaned Data'!$A$18</c:f>
              <c:strCache>
                <c:ptCount val="1"/>
                <c:pt idx="0">
                  <c:v>Flow</c:v>
                </c:pt>
              </c:strCache>
            </c:strRef>
          </c:tx>
          <c:spPr>
            <a:solidFill>
              <a:schemeClr val="accent5">
                <a:lumMod val="80000"/>
                <a:lumOff val="20000"/>
              </a:schemeClr>
            </a:solidFill>
            <a:ln>
              <a:noFill/>
            </a:ln>
            <a:effectLst/>
          </c:spPr>
          <c:invertIfNegative val="0"/>
          <c:cat>
            <c:strRef>
              <c:f>'Cleaned Data'!$F$1</c:f>
              <c:strCache>
                <c:ptCount val="1"/>
                <c:pt idx="0">
                  <c:v> Volume (24) USD_cleaned </c:v>
                </c:pt>
              </c:strCache>
            </c:strRef>
          </c:cat>
          <c:val>
            <c:numRef>
              <c:f>'Cleaned Data'!$F$18</c:f>
            </c:numRef>
          </c:val>
          <c:extLst>
            <c:ext xmlns:c16="http://schemas.microsoft.com/office/drawing/2014/chart" uri="{C3380CC4-5D6E-409C-BE32-E72D297353CC}">
              <c16:uniqueId val="{00000010-1491-467E-B9F1-75460D4C920C}"/>
            </c:ext>
          </c:extLst>
        </c:ser>
        <c:ser>
          <c:idx val="17"/>
          <c:order val="17"/>
          <c:tx>
            <c:strRef>
              <c:f>'Cleaned Data'!$A$19</c:f>
              <c:strCache>
                <c:ptCount val="1"/>
                <c:pt idx="0">
                  <c:v>Maple Finance</c:v>
                </c:pt>
              </c:strCache>
            </c:strRef>
          </c:tx>
          <c:spPr>
            <a:solidFill>
              <a:schemeClr val="accent6">
                <a:lumMod val="80000"/>
                <a:lumOff val="20000"/>
              </a:schemeClr>
            </a:solidFill>
            <a:ln>
              <a:noFill/>
            </a:ln>
            <a:effectLst/>
          </c:spPr>
          <c:invertIfNegative val="0"/>
          <c:cat>
            <c:strRef>
              <c:f>'Cleaned Data'!$F$1</c:f>
              <c:strCache>
                <c:ptCount val="1"/>
                <c:pt idx="0">
                  <c:v> Volume (24) USD_cleaned </c:v>
                </c:pt>
              </c:strCache>
            </c:strRef>
          </c:cat>
          <c:val>
            <c:numRef>
              <c:f>'Cleaned Data'!$F$19</c:f>
            </c:numRef>
          </c:val>
          <c:extLst>
            <c:ext xmlns:c16="http://schemas.microsoft.com/office/drawing/2014/chart" uri="{C3380CC4-5D6E-409C-BE32-E72D297353CC}">
              <c16:uniqueId val="{00000011-1491-467E-B9F1-75460D4C920C}"/>
            </c:ext>
          </c:extLst>
        </c:ser>
        <c:ser>
          <c:idx val="18"/>
          <c:order val="18"/>
          <c:tx>
            <c:strRef>
              <c:f>'Cleaned Data'!$A$20</c:f>
              <c:strCache>
                <c:ptCount val="1"/>
                <c:pt idx="0">
                  <c:v>Decentraland</c:v>
                </c:pt>
              </c:strCache>
            </c:strRef>
          </c:tx>
          <c:spPr>
            <a:solidFill>
              <a:schemeClr val="accent1">
                <a:lumMod val="80000"/>
              </a:schemeClr>
            </a:solidFill>
            <a:ln>
              <a:noFill/>
            </a:ln>
            <a:effectLst/>
          </c:spPr>
          <c:invertIfNegative val="0"/>
          <c:cat>
            <c:strRef>
              <c:f>'Cleaned Data'!$F$1</c:f>
              <c:strCache>
                <c:ptCount val="1"/>
                <c:pt idx="0">
                  <c:v> Volume (24) USD_cleaned </c:v>
                </c:pt>
              </c:strCache>
            </c:strRef>
          </c:cat>
          <c:val>
            <c:numRef>
              <c:f>'Cleaned Data'!$F$20</c:f>
              <c:numCache>
                <c:formatCode>_("$"* #,##0_);_("$"* \(#,##0\);_("$"* "-"??_);_(@_)</c:formatCode>
                <c:ptCount val="1"/>
                <c:pt idx="0">
                  <c:v>25685731</c:v>
                </c:pt>
              </c:numCache>
            </c:numRef>
          </c:val>
          <c:extLst>
            <c:ext xmlns:c16="http://schemas.microsoft.com/office/drawing/2014/chart" uri="{C3380CC4-5D6E-409C-BE32-E72D297353CC}">
              <c16:uniqueId val="{00000012-1491-467E-B9F1-75460D4C920C}"/>
            </c:ext>
          </c:extLst>
        </c:ser>
        <c:ser>
          <c:idx val="19"/>
          <c:order val="19"/>
          <c:tx>
            <c:strRef>
              <c:f>'Cleaned Data'!$A$21</c:f>
              <c:strCache>
                <c:ptCount val="1"/>
                <c:pt idx="0">
                  <c:v>TrueUSD</c:v>
                </c:pt>
              </c:strCache>
            </c:strRef>
          </c:tx>
          <c:spPr>
            <a:solidFill>
              <a:schemeClr val="accent2">
                <a:lumMod val="80000"/>
              </a:schemeClr>
            </a:solidFill>
            <a:ln>
              <a:noFill/>
            </a:ln>
            <a:effectLst/>
          </c:spPr>
          <c:invertIfNegative val="0"/>
          <c:cat>
            <c:strRef>
              <c:f>'Cleaned Data'!$F$1</c:f>
              <c:strCache>
                <c:ptCount val="1"/>
                <c:pt idx="0">
                  <c:v> Volume (24) USD_cleaned </c:v>
                </c:pt>
              </c:strCache>
            </c:strRef>
          </c:cat>
          <c:val>
            <c:numRef>
              <c:f>'Cleaned Data'!$F$21</c:f>
            </c:numRef>
          </c:val>
          <c:extLst>
            <c:ext xmlns:c16="http://schemas.microsoft.com/office/drawing/2014/chart" uri="{C3380CC4-5D6E-409C-BE32-E72D297353CC}">
              <c16:uniqueId val="{00000013-1491-467E-B9F1-75460D4C920C}"/>
            </c:ext>
          </c:extLst>
        </c:ser>
        <c:ser>
          <c:idx val="20"/>
          <c:order val="20"/>
          <c:tx>
            <c:strRef>
              <c:f>'Cleaned Data'!$A$22</c:f>
              <c:strCache>
                <c:ptCount val="1"/>
                <c:pt idx="0">
                  <c:v>Fasttoken</c:v>
                </c:pt>
              </c:strCache>
            </c:strRef>
          </c:tx>
          <c:spPr>
            <a:solidFill>
              <a:schemeClr val="accent3">
                <a:lumMod val="80000"/>
              </a:schemeClr>
            </a:solidFill>
            <a:ln>
              <a:noFill/>
            </a:ln>
            <a:effectLst/>
          </c:spPr>
          <c:invertIfNegative val="0"/>
          <c:cat>
            <c:strRef>
              <c:f>'Cleaned Data'!$F$1</c:f>
              <c:strCache>
                <c:ptCount val="1"/>
                <c:pt idx="0">
                  <c:v> Volume (24) USD_cleaned </c:v>
                </c:pt>
              </c:strCache>
            </c:strRef>
          </c:cat>
          <c:val>
            <c:numRef>
              <c:f>'Cleaned Data'!$F$22</c:f>
            </c:numRef>
          </c:val>
          <c:extLst>
            <c:ext xmlns:c16="http://schemas.microsoft.com/office/drawing/2014/chart" uri="{C3380CC4-5D6E-409C-BE32-E72D297353CC}">
              <c16:uniqueId val="{00000014-1491-467E-B9F1-75460D4C920C}"/>
            </c:ext>
          </c:extLst>
        </c:ser>
        <c:ser>
          <c:idx val="21"/>
          <c:order val="21"/>
          <c:tx>
            <c:strRef>
              <c:f>'Cleaned Data'!$A$23</c:f>
              <c:strCache>
                <c:ptCount val="1"/>
                <c:pt idx="0">
                  <c:v>Jupiter Perps LP</c:v>
                </c:pt>
              </c:strCache>
            </c:strRef>
          </c:tx>
          <c:spPr>
            <a:solidFill>
              <a:schemeClr val="accent4">
                <a:lumMod val="80000"/>
              </a:schemeClr>
            </a:solidFill>
            <a:ln>
              <a:noFill/>
            </a:ln>
            <a:effectLst/>
          </c:spPr>
          <c:invertIfNegative val="0"/>
          <c:cat>
            <c:strRef>
              <c:f>'Cleaned Data'!$F$1</c:f>
              <c:strCache>
                <c:ptCount val="1"/>
                <c:pt idx="0">
                  <c:v> Volume (24) USD_cleaned </c:v>
                </c:pt>
              </c:strCache>
            </c:strRef>
          </c:cat>
          <c:val>
            <c:numRef>
              <c:f>'Cleaned Data'!$F$23</c:f>
            </c:numRef>
          </c:val>
          <c:extLst>
            <c:ext xmlns:c16="http://schemas.microsoft.com/office/drawing/2014/chart" uri="{C3380CC4-5D6E-409C-BE32-E72D297353CC}">
              <c16:uniqueId val="{00000015-1491-467E-B9F1-75460D4C920C}"/>
            </c:ext>
          </c:extLst>
        </c:ser>
        <c:ser>
          <c:idx val="22"/>
          <c:order val="22"/>
          <c:tx>
            <c:strRef>
              <c:f>'Cleaned Data'!$A$24</c:f>
              <c:strCache>
                <c:ptCount val="1"/>
                <c:pt idx="0">
                  <c:v>Zeebu</c:v>
                </c:pt>
              </c:strCache>
            </c:strRef>
          </c:tx>
          <c:spPr>
            <a:solidFill>
              <a:schemeClr val="accent5">
                <a:lumMod val="80000"/>
              </a:schemeClr>
            </a:solidFill>
            <a:ln>
              <a:noFill/>
            </a:ln>
            <a:effectLst/>
          </c:spPr>
          <c:invertIfNegative val="0"/>
          <c:cat>
            <c:strRef>
              <c:f>'Cleaned Data'!$F$1</c:f>
              <c:strCache>
                <c:ptCount val="1"/>
                <c:pt idx="0">
                  <c:v> Volume (24) USD_cleaned </c:v>
                </c:pt>
              </c:strCache>
            </c:strRef>
          </c:cat>
          <c:val>
            <c:numRef>
              <c:f>'Cleaned Data'!$F$24</c:f>
            </c:numRef>
          </c:val>
          <c:extLst>
            <c:ext xmlns:c16="http://schemas.microsoft.com/office/drawing/2014/chart" uri="{C3380CC4-5D6E-409C-BE32-E72D297353CC}">
              <c16:uniqueId val="{00000016-1491-467E-B9F1-75460D4C920C}"/>
            </c:ext>
          </c:extLst>
        </c:ser>
        <c:ser>
          <c:idx val="23"/>
          <c:order val="23"/>
          <c:tx>
            <c:strRef>
              <c:f>'Cleaned Data'!$A$25</c:f>
              <c:strCache>
                <c:ptCount val="1"/>
                <c:pt idx="0">
                  <c:v>Fellaz</c:v>
                </c:pt>
              </c:strCache>
            </c:strRef>
          </c:tx>
          <c:spPr>
            <a:solidFill>
              <a:schemeClr val="accent6">
                <a:lumMod val="80000"/>
              </a:schemeClr>
            </a:solidFill>
            <a:ln>
              <a:noFill/>
            </a:ln>
            <a:effectLst/>
          </c:spPr>
          <c:invertIfNegative val="0"/>
          <c:cat>
            <c:strRef>
              <c:f>'Cleaned Data'!$F$1</c:f>
              <c:strCache>
                <c:ptCount val="1"/>
                <c:pt idx="0">
                  <c:v> Volume (24) USD_cleaned </c:v>
                </c:pt>
              </c:strCache>
            </c:strRef>
          </c:cat>
          <c:val>
            <c:numRef>
              <c:f>'Cleaned Data'!$F$25</c:f>
            </c:numRef>
          </c:val>
          <c:extLst>
            <c:ext xmlns:c16="http://schemas.microsoft.com/office/drawing/2014/chart" uri="{C3380CC4-5D6E-409C-BE32-E72D297353CC}">
              <c16:uniqueId val="{00000017-1491-467E-B9F1-75460D4C920C}"/>
            </c:ext>
          </c:extLst>
        </c:ser>
        <c:ser>
          <c:idx val="24"/>
          <c:order val="24"/>
          <c:tx>
            <c:strRef>
              <c:f>'Cleaned Data'!$A$26</c:f>
              <c:strCache>
                <c:ptCount val="1"/>
                <c:pt idx="0">
                  <c:v>Usual USD</c:v>
                </c:pt>
              </c:strCache>
            </c:strRef>
          </c:tx>
          <c:spPr>
            <a:solidFill>
              <a:schemeClr val="accent1">
                <a:lumMod val="60000"/>
                <a:lumOff val="40000"/>
              </a:schemeClr>
            </a:solidFill>
            <a:ln>
              <a:noFill/>
            </a:ln>
            <a:effectLst/>
          </c:spPr>
          <c:invertIfNegative val="0"/>
          <c:cat>
            <c:strRef>
              <c:f>'Cleaned Data'!$F$1</c:f>
              <c:strCache>
                <c:ptCount val="1"/>
                <c:pt idx="0">
                  <c:v> Volume (24) USD_cleaned </c:v>
                </c:pt>
              </c:strCache>
            </c:strRef>
          </c:cat>
          <c:val>
            <c:numRef>
              <c:f>'Cleaned Data'!$F$26</c:f>
            </c:numRef>
          </c:val>
          <c:extLst>
            <c:ext xmlns:c16="http://schemas.microsoft.com/office/drawing/2014/chart" uri="{C3380CC4-5D6E-409C-BE32-E72D297353CC}">
              <c16:uniqueId val="{00000018-1491-467E-B9F1-75460D4C920C}"/>
            </c:ext>
          </c:extLst>
        </c:ser>
        <c:ser>
          <c:idx val="25"/>
          <c:order val="25"/>
          <c:tx>
            <c:strRef>
              <c:f>'Cleaned Data'!$A$27</c:f>
              <c:strCache>
                <c:ptCount val="1"/>
                <c:pt idx="0">
                  <c:v>Ondo US Dollar Yield</c:v>
                </c:pt>
              </c:strCache>
            </c:strRef>
          </c:tx>
          <c:spPr>
            <a:solidFill>
              <a:schemeClr val="accent2">
                <a:lumMod val="60000"/>
                <a:lumOff val="40000"/>
              </a:schemeClr>
            </a:solidFill>
            <a:ln>
              <a:noFill/>
            </a:ln>
            <a:effectLst/>
          </c:spPr>
          <c:invertIfNegative val="0"/>
          <c:cat>
            <c:strRef>
              <c:f>'Cleaned Data'!$F$1</c:f>
              <c:strCache>
                <c:ptCount val="1"/>
                <c:pt idx="0">
                  <c:v> Volume (24) USD_cleaned </c:v>
                </c:pt>
              </c:strCache>
            </c:strRef>
          </c:cat>
          <c:val>
            <c:numRef>
              <c:f>'Cleaned Data'!$F$27</c:f>
            </c:numRef>
          </c:val>
          <c:extLst>
            <c:ext xmlns:c16="http://schemas.microsoft.com/office/drawing/2014/chart" uri="{C3380CC4-5D6E-409C-BE32-E72D297353CC}">
              <c16:uniqueId val="{00000019-1491-467E-B9F1-75460D4C920C}"/>
            </c:ext>
          </c:extLst>
        </c:ser>
        <c:ser>
          <c:idx val="26"/>
          <c:order val="26"/>
          <c:tx>
            <c:strRef>
              <c:f>'Cleaned Data'!$A$28</c:f>
              <c:strCache>
                <c:ptCount val="1"/>
                <c:pt idx="0">
                  <c:v>Falcon USD</c:v>
                </c:pt>
              </c:strCache>
            </c:strRef>
          </c:tx>
          <c:spPr>
            <a:solidFill>
              <a:schemeClr val="accent3">
                <a:lumMod val="60000"/>
                <a:lumOff val="40000"/>
              </a:schemeClr>
            </a:solidFill>
            <a:ln>
              <a:noFill/>
            </a:ln>
            <a:effectLst/>
          </c:spPr>
          <c:invertIfNegative val="0"/>
          <c:cat>
            <c:strRef>
              <c:f>'Cleaned Data'!$F$1</c:f>
              <c:strCache>
                <c:ptCount val="1"/>
                <c:pt idx="0">
                  <c:v> Volume (24) USD_cleaned </c:v>
                </c:pt>
              </c:strCache>
            </c:strRef>
          </c:cat>
          <c:val>
            <c:numRef>
              <c:f>'Cleaned Data'!$F$28</c:f>
            </c:numRef>
          </c:val>
          <c:extLst>
            <c:ext xmlns:c16="http://schemas.microsoft.com/office/drawing/2014/chart" uri="{C3380CC4-5D6E-409C-BE32-E72D297353CC}">
              <c16:uniqueId val="{0000001A-1491-467E-B9F1-75460D4C920C}"/>
            </c:ext>
          </c:extLst>
        </c:ser>
        <c:ser>
          <c:idx val="27"/>
          <c:order val="27"/>
          <c:tx>
            <c:strRef>
              <c:f>'Cleaned Data'!$A$29</c:f>
              <c:strCache>
                <c:ptCount val="1"/>
                <c:pt idx="0">
                  <c:v>Loaded Lions</c:v>
                </c:pt>
              </c:strCache>
            </c:strRef>
          </c:tx>
          <c:spPr>
            <a:solidFill>
              <a:schemeClr val="accent4">
                <a:lumMod val="60000"/>
                <a:lumOff val="40000"/>
              </a:schemeClr>
            </a:solidFill>
            <a:ln>
              <a:noFill/>
            </a:ln>
            <a:effectLst/>
          </c:spPr>
          <c:invertIfNegative val="0"/>
          <c:cat>
            <c:strRef>
              <c:f>'Cleaned Data'!$F$1</c:f>
              <c:strCache>
                <c:ptCount val="1"/>
                <c:pt idx="0">
                  <c:v> Volume (24) USD_cleaned </c:v>
                </c:pt>
              </c:strCache>
            </c:strRef>
          </c:cat>
          <c:val>
            <c:numRef>
              <c:f>'Cleaned Data'!$F$29</c:f>
            </c:numRef>
          </c:val>
          <c:extLst>
            <c:ext xmlns:c16="http://schemas.microsoft.com/office/drawing/2014/chart" uri="{C3380CC4-5D6E-409C-BE32-E72D297353CC}">
              <c16:uniqueId val="{0000001B-1491-467E-B9F1-75460D4C920C}"/>
            </c:ext>
          </c:extLst>
        </c:ser>
        <c:ser>
          <c:idx val="28"/>
          <c:order val="28"/>
          <c:tx>
            <c:strRef>
              <c:f>'Cleaned Data'!$A$30</c:f>
              <c:strCache>
                <c:ptCount val="1"/>
                <c:pt idx="0">
                  <c:v>would</c:v>
                </c:pt>
              </c:strCache>
            </c:strRef>
          </c:tx>
          <c:spPr>
            <a:solidFill>
              <a:schemeClr val="accent5">
                <a:lumMod val="60000"/>
                <a:lumOff val="40000"/>
              </a:schemeClr>
            </a:solidFill>
            <a:ln>
              <a:noFill/>
            </a:ln>
            <a:effectLst/>
          </c:spPr>
          <c:invertIfNegative val="0"/>
          <c:cat>
            <c:strRef>
              <c:f>'Cleaned Data'!$F$1</c:f>
              <c:strCache>
                <c:ptCount val="1"/>
                <c:pt idx="0">
                  <c:v> Volume (24) USD_cleaned </c:v>
                </c:pt>
              </c:strCache>
            </c:strRef>
          </c:cat>
          <c:val>
            <c:numRef>
              <c:f>'Cleaned Data'!$F$30</c:f>
            </c:numRef>
          </c:val>
          <c:extLst>
            <c:ext xmlns:c16="http://schemas.microsoft.com/office/drawing/2014/chart" uri="{C3380CC4-5D6E-409C-BE32-E72D297353CC}">
              <c16:uniqueId val="{0000001C-1491-467E-B9F1-75460D4C920C}"/>
            </c:ext>
          </c:extLst>
        </c:ser>
        <c:ser>
          <c:idx val="29"/>
          <c:order val="29"/>
          <c:tx>
            <c:strRef>
              <c:f>'Cleaned Data'!$A$31</c:f>
              <c:strCache>
                <c:ptCount val="1"/>
                <c:pt idx="0">
                  <c:v>WhiteRock</c:v>
                </c:pt>
              </c:strCache>
            </c:strRef>
          </c:tx>
          <c:spPr>
            <a:solidFill>
              <a:schemeClr val="accent6">
                <a:lumMod val="60000"/>
                <a:lumOff val="40000"/>
              </a:schemeClr>
            </a:solidFill>
            <a:ln>
              <a:noFill/>
            </a:ln>
            <a:effectLst/>
          </c:spPr>
          <c:invertIfNegative val="0"/>
          <c:cat>
            <c:strRef>
              <c:f>'Cleaned Data'!$F$1</c:f>
              <c:strCache>
                <c:ptCount val="1"/>
                <c:pt idx="0">
                  <c:v> Volume (24) USD_cleaned </c:v>
                </c:pt>
              </c:strCache>
            </c:strRef>
          </c:cat>
          <c:val>
            <c:numRef>
              <c:f>'Cleaned Data'!$F$31</c:f>
            </c:numRef>
          </c:val>
          <c:extLst>
            <c:ext xmlns:c16="http://schemas.microsoft.com/office/drawing/2014/chart" uri="{C3380CC4-5D6E-409C-BE32-E72D297353CC}">
              <c16:uniqueId val="{0000001D-1491-467E-B9F1-75460D4C920C}"/>
            </c:ext>
          </c:extLst>
        </c:ser>
        <c:ser>
          <c:idx val="30"/>
          <c:order val="30"/>
          <c:tx>
            <c:strRef>
              <c:f>'Cleaned Data'!$A$32</c:f>
              <c:strCache>
                <c:ptCount val="1"/>
                <c:pt idx="0">
                  <c:v>Ontology</c:v>
                </c:pt>
              </c:strCache>
            </c:strRef>
          </c:tx>
          <c:spPr>
            <a:solidFill>
              <a:schemeClr val="accent1">
                <a:lumMod val="50000"/>
              </a:schemeClr>
            </a:solidFill>
            <a:ln>
              <a:noFill/>
            </a:ln>
            <a:effectLst/>
          </c:spPr>
          <c:invertIfNegative val="0"/>
          <c:cat>
            <c:strRef>
              <c:f>'Cleaned Data'!$F$1</c:f>
              <c:strCache>
                <c:ptCount val="1"/>
                <c:pt idx="0">
                  <c:v> Volume (24) USD_cleaned </c:v>
                </c:pt>
              </c:strCache>
            </c:strRef>
          </c:cat>
          <c:val>
            <c:numRef>
              <c:f>'Cleaned Data'!$F$32</c:f>
            </c:numRef>
          </c:val>
          <c:extLst>
            <c:ext xmlns:c16="http://schemas.microsoft.com/office/drawing/2014/chart" uri="{C3380CC4-5D6E-409C-BE32-E72D297353CC}">
              <c16:uniqueId val="{0000001E-1491-467E-B9F1-75460D4C920C}"/>
            </c:ext>
          </c:extLst>
        </c:ser>
        <c:ser>
          <c:idx val="31"/>
          <c:order val="31"/>
          <c:tx>
            <c:strRef>
              <c:f>'Cleaned Data'!$A$33</c:f>
              <c:strCache>
                <c:ptCount val="1"/>
                <c:pt idx="0">
                  <c:v>Request</c:v>
                </c:pt>
              </c:strCache>
            </c:strRef>
          </c:tx>
          <c:spPr>
            <a:solidFill>
              <a:schemeClr val="accent2">
                <a:lumMod val="50000"/>
              </a:schemeClr>
            </a:solidFill>
            <a:ln>
              <a:noFill/>
            </a:ln>
            <a:effectLst/>
          </c:spPr>
          <c:invertIfNegative val="0"/>
          <c:cat>
            <c:strRef>
              <c:f>'Cleaned Data'!$F$1</c:f>
              <c:strCache>
                <c:ptCount val="1"/>
                <c:pt idx="0">
                  <c:v> Volume (24) USD_cleaned </c:v>
                </c:pt>
              </c:strCache>
            </c:strRef>
          </c:cat>
          <c:val>
            <c:numRef>
              <c:f>'Cleaned Data'!$F$33</c:f>
            </c:numRef>
          </c:val>
          <c:extLst>
            <c:ext xmlns:c16="http://schemas.microsoft.com/office/drawing/2014/chart" uri="{C3380CC4-5D6E-409C-BE32-E72D297353CC}">
              <c16:uniqueId val="{0000001F-1491-467E-B9F1-75460D4C920C}"/>
            </c:ext>
          </c:extLst>
        </c:ser>
        <c:ser>
          <c:idx val="32"/>
          <c:order val="32"/>
          <c:tx>
            <c:strRef>
              <c:f>'Cleaned Data'!$A$34</c:f>
              <c:strCache>
                <c:ptCount val="1"/>
                <c:pt idx="0">
                  <c:v>Paycoin</c:v>
                </c:pt>
              </c:strCache>
            </c:strRef>
          </c:tx>
          <c:spPr>
            <a:solidFill>
              <a:schemeClr val="accent3">
                <a:lumMod val="50000"/>
              </a:schemeClr>
            </a:solidFill>
            <a:ln>
              <a:noFill/>
            </a:ln>
            <a:effectLst/>
          </c:spPr>
          <c:invertIfNegative val="0"/>
          <c:cat>
            <c:strRef>
              <c:f>'Cleaned Data'!$F$1</c:f>
              <c:strCache>
                <c:ptCount val="1"/>
                <c:pt idx="0">
                  <c:v> Volume (24) USD_cleaned </c:v>
                </c:pt>
              </c:strCache>
            </c:strRef>
          </c:cat>
          <c:val>
            <c:numRef>
              <c:f>'Cleaned Data'!$F$34</c:f>
            </c:numRef>
          </c:val>
          <c:extLst>
            <c:ext xmlns:c16="http://schemas.microsoft.com/office/drawing/2014/chart" uri="{C3380CC4-5D6E-409C-BE32-E72D297353CC}">
              <c16:uniqueId val="{00000020-1491-467E-B9F1-75460D4C920C}"/>
            </c:ext>
          </c:extLst>
        </c:ser>
        <c:ser>
          <c:idx val="33"/>
          <c:order val="33"/>
          <c:tx>
            <c:strRef>
              <c:f>'Cleaned Data'!$A$35</c:f>
              <c:strCache>
                <c:ptCount val="1"/>
                <c:pt idx="0">
                  <c:v>COTI</c:v>
                </c:pt>
              </c:strCache>
            </c:strRef>
          </c:tx>
          <c:spPr>
            <a:solidFill>
              <a:schemeClr val="accent4">
                <a:lumMod val="50000"/>
              </a:schemeClr>
            </a:solidFill>
            <a:ln>
              <a:noFill/>
            </a:ln>
            <a:effectLst/>
          </c:spPr>
          <c:invertIfNegative val="0"/>
          <c:cat>
            <c:strRef>
              <c:f>'Cleaned Data'!$F$1</c:f>
              <c:strCache>
                <c:ptCount val="1"/>
                <c:pt idx="0">
                  <c:v> Volume (24) USD_cleaned </c:v>
                </c:pt>
              </c:strCache>
            </c:strRef>
          </c:cat>
          <c:val>
            <c:numRef>
              <c:f>'Cleaned Data'!$F$35</c:f>
            </c:numRef>
          </c:val>
          <c:extLst>
            <c:ext xmlns:c16="http://schemas.microsoft.com/office/drawing/2014/chart" uri="{C3380CC4-5D6E-409C-BE32-E72D297353CC}">
              <c16:uniqueId val="{00000021-1491-467E-B9F1-75460D4C920C}"/>
            </c:ext>
          </c:extLst>
        </c:ser>
        <c:ser>
          <c:idx val="34"/>
          <c:order val="34"/>
          <c:tx>
            <c:strRef>
              <c:f>'Cleaned Data'!$A$36</c:f>
              <c:strCache>
                <c:ptCount val="1"/>
                <c:pt idx="0">
                  <c:v>Gravity (by Galxe)</c:v>
                </c:pt>
              </c:strCache>
            </c:strRef>
          </c:tx>
          <c:spPr>
            <a:solidFill>
              <a:schemeClr val="accent5">
                <a:lumMod val="50000"/>
              </a:schemeClr>
            </a:solidFill>
            <a:ln>
              <a:noFill/>
            </a:ln>
            <a:effectLst/>
          </c:spPr>
          <c:invertIfNegative val="0"/>
          <c:cat>
            <c:strRef>
              <c:f>'Cleaned Data'!$F$1</c:f>
              <c:strCache>
                <c:ptCount val="1"/>
                <c:pt idx="0">
                  <c:v> Volume (24) USD_cleaned </c:v>
                </c:pt>
              </c:strCache>
            </c:strRef>
          </c:cat>
          <c:val>
            <c:numRef>
              <c:f>'Cleaned Data'!$F$36</c:f>
            </c:numRef>
          </c:val>
          <c:extLst>
            <c:ext xmlns:c16="http://schemas.microsoft.com/office/drawing/2014/chart" uri="{C3380CC4-5D6E-409C-BE32-E72D297353CC}">
              <c16:uniqueId val="{00000022-1491-467E-B9F1-75460D4C920C}"/>
            </c:ext>
          </c:extLst>
        </c:ser>
        <c:ser>
          <c:idx val="35"/>
          <c:order val="35"/>
          <c:tx>
            <c:strRef>
              <c:f>'Cleaned Data'!$A$37</c:f>
              <c:strCache>
                <c:ptCount val="1"/>
                <c:pt idx="0">
                  <c:v>Terra</c:v>
                </c:pt>
              </c:strCache>
            </c:strRef>
          </c:tx>
          <c:spPr>
            <a:solidFill>
              <a:schemeClr val="accent6">
                <a:lumMod val="50000"/>
              </a:schemeClr>
            </a:solidFill>
            <a:ln>
              <a:noFill/>
            </a:ln>
            <a:effectLst/>
          </c:spPr>
          <c:invertIfNegative val="0"/>
          <c:cat>
            <c:strRef>
              <c:f>'Cleaned Data'!$F$1</c:f>
              <c:strCache>
                <c:ptCount val="1"/>
                <c:pt idx="0">
                  <c:v> Volume (24) USD_cleaned </c:v>
                </c:pt>
              </c:strCache>
            </c:strRef>
          </c:cat>
          <c:val>
            <c:numRef>
              <c:f>'Cleaned Data'!$F$37</c:f>
            </c:numRef>
          </c:val>
          <c:extLst>
            <c:ext xmlns:c16="http://schemas.microsoft.com/office/drawing/2014/chart" uri="{C3380CC4-5D6E-409C-BE32-E72D297353CC}">
              <c16:uniqueId val="{00000023-1491-467E-B9F1-75460D4C920C}"/>
            </c:ext>
          </c:extLst>
        </c:ser>
        <c:ser>
          <c:idx val="36"/>
          <c:order val="36"/>
          <c:tx>
            <c:strRef>
              <c:f>'Cleaned Data'!$A$38</c:f>
              <c:strCache>
                <c:ptCount val="1"/>
                <c:pt idx="0">
                  <c:v>Solar</c:v>
                </c:pt>
              </c:strCache>
            </c:strRef>
          </c:tx>
          <c:spPr>
            <a:solidFill>
              <a:schemeClr val="accent1">
                <a:lumMod val="70000"/>
                <a:lumOff val="30000"/>
              </a:schemeClr>
            </a:solidFill>
            <a:ln>
              <a:noFill/>
            </a:ln>
            <a:effectLst/>
          </c:spPr>
          <c:invertIfNegative val="0"/>
          <c:cat>
            <c:strRef>
              <c:f>'Cleaned Data'!$F$1</c:f>
              <c:strCache>
                <c:ptCount val="1"/>
                <c:pt idx="0">
                  <c:v> Volume (24) USD_cleaned </c:v>
                </c:pt>
              </c:strCache>
            </c:strRef>
          </c:cat>
          <c:val>
            <c:numRef>
              <c:f>'Cleaned Data'!$F$38</c:f>
            </c:numRef>
          </c:val>
          <c:extLst>
            <c:ext xmlns:c16="http://schemas.microsoft.com/office/drawing/2014/chart" uri="{C3380CC4-5D6E-409C-BE32-E72D297353CC}">
              <c16:uniqueId val="{00000024-1491-467E-B9F1-75460D4C920C}"/>
            </c:ext>
          </c:extLst>
        </c:ser>
        <c:ser>
          <c:idx val="37"/>
          <c:order val="37"/>
          <c:tx>
            <c:strRef>
              <c:f>'Cleaned Data'!$A$39</c:f>
              <c:strCache>
                <c:ptCount val="1"/>
                <c:pt idx="0">
                  <c:v>Destra Network</c:v>
                </c:pt>
              </c:strCache>
            </c:strRef>
          </c:tx>
          <c:spPr>
            <a:solidFill>
              <a:schemeClr val="accent2">
                <a:lumMod val="70000"/>
                <a:lumOff val="30000"/>
              </a:schemeClr>
            </a:solidFill>
            <a:ln>
              <a:noFill/>
            </a:ln>
            <a:effectLst/>
          </c:spPr>
          <c:invertIfNegative val="0"/>
          <c:cat>
            <c:strRef>
              <c:f>'Cleaned Data'!$F$1</c:f>
              <c:strCache>
                <c:ptCount val="1"/>
                <c:pt idx="0">
                  <c:v> Volume (24) USD_cleaned </c:v>
                </c:pt>
              </c:strCache>
            </c:strRef>
          </c:cat>
          <c:val>
            <c:numRef>
              <c:f>'Cleaned Data'!$F$39</c:f>
            </c:numRef>
          </c:val>
          <c:extLst>
            <c:ext xmlns:c16="http://schemas.microsoft.com/office/drawing/2014/chart" uri="{C3380CC4-5D6E-409C-BE32-E72D297353CC}">
              <c16:uniqueId val="{00000025-1491-467E-B9F1-75460D4C920C}"/>
            </c:ext>
          </c:extLst>
        </c:ser>
        <c:ser>
          <c:idx val="38"/>
          <c:order val="38"/>
          <c:tx>
            <c:strRef>
              <c:f>'Cleaned Data'!$A$40</c:f>
              <c:strCache>
                <c:ptCount val="1"/>
                <c:pt idx="0">
                  <c:v>World Mobile Token</c:v>
                </c:pt>
              </c:strCache>
            </c:strRef>
          </c:tx>
          <c:spPr>
            <a:solidFill>
              <a:schemeClr val="accent3">
                <a:lumMod val="70000"/>
                <a:lumOff val="30000"/>
              </a:schemeClr>
            </a:solidFill>
            <a:ln>
              <a:noFill/>
            </a:ln>
            <a:effectLst/>
          </c:spPr>
          <c:invertIfNegative val="0"/>
          <c:cat>
            <c:strRef>
              <c:f>'Cleaned Data'!$F$1</c:f>
              <c:strCache>
                <c:ptCount val="1"/>
                <c:pt idx="0">
                  <c:v> Volume (24) USD_cleaned </c:v>
                </c:pt>
              </c:strCache>
            </c:strRef>
          </c:cat>
          <c:val>
            <c:numRef>
              <c:f>'Cleaned Data'!$F$40</c:f>
            </c:numRef>
          </c:val>
          <c:extLst>
            <c:ext xmlns:c16="http://schemas.microsoft.com/office/drawing/2014/chart" uri="{C3380CC4-5D6E-409C-BE32-E72D297353CC}">
              <c16:uniqueId val="{00000026-1491-467E-B9F1-75460D4C920C}"/>
            </c:ext>
          </c:extLst>
        </c:ser>
        <c:ser>
          <c:idx val="39"/>
          <c:order val="39"/>
          <c:tx>
            <c:strRef>
              <c:f>'Cleaned Data'!$A$41</c:f>
              <c:strCache>
                <c:ptCount val="1"/>
                <c:pt idx="0">
                  <c:v>SKALE</c:v>
                </c:pt>
              </c:strCache>
            </c:strRef>
          </c:tx>
          <c:spPr>
            <a:solidFill>
              <a:schemeClr val="accent4">
                <a:lumMod val="70000"/>
                <a:lumOff val="30000"/>
              </a:schemeClr>
            </a:solidFill>
            <a:ln>
              <a:noFill/>
            </a:ln>
            <a:effectLst/>
          </c:spPr>
          <c:invertIfNegative val="0"/>
          <c:cat>
            <c:strRef>
              <c:f>'Cleaned Data'!$F$1</c:f>
              <c:strCache>
                <c:ptCount val="1"/>
                <c:pt idx="0">
                  <c:v> Volume (24) USD_cleaned </c:v>
                </c:pt>
              </c:strCache>
            </c:strRef>
          </c:cat>
          <c:val>
            <c:numRef>
              <c:f>'Cleaned Data'!$F$41</c:f>
            </c:numRef>
          </c:val>
          <c:extLst>
            <c:ext xmlns:c16="http://schemas.microsoft.com/office/drawing/2014/chart" uri="{C3380CC4-5D6E-409C-BE32-E72D297353CC}">
              <c16:uniqueId val="{00000027-1491-467E-B9F1-75460D4C920C}"/>
            </c:ext>
          </c:extLst>
        </c:ser>
        <c:ser>
          <c:idx val="40"/>
          <c:order val="40"/>
          <c:tx>
            <c:strRef>
              <c:f>'Cleaned Data'!$A$42</c:f>
              <c:strCache>
                <c:ptCount val="1"/>
                <c:pt idx="0">
                  <c:v>Usual</c:v>
                </c:pt>
              </c:strCache>
            </c:strRef>
          </c:tx>
          <c:spPr>
            <a:solidFill>
              <a:schemeClr val="accent5">
                <a:lumMod val="70000"/>
                <a:lumOff val="30000"/>
              </a:schemeClr>
            </a:solidFill>
            <a:ln>
              <a:noFill/>
            </a:ln>
            <a:effectLst/>
          </c:spPr>
          <c:invertIfNegative val="0"/>
          <c:cat>
            <c:strRef>
              <c:f>'Cleaned Data'!$F$1</c:f>
              <c:strCache>
                <c:ptCount val="1"/>
                <c:pt idx="0">
                  <c:v> Volume (24) USD_cleaned </c:v>
                </c:pt>
              </c:strCache>
            </c:strRef>
          </c:cat>
          <c:val>
            <c:numRef>
              <c:f>'Cleaned Data'!$F$42</c:f>
              <c:numCache>
                <c:formatCode>_("$"* #,##0_);_("$"* \(#,##0\);_("$"* "-"??_);_(@_)</c:formatCode>
                <c:ptCount val="1"/>
                <c:pt idx="0">
                  <c:v>25758134</c:v>
                </c:pt>
              </c:numCache>
            </c:numRef>
          </c:val>
          <c:extLst>
            <c:ext xmlns:c16="http://schemas.microsoft.com/office/drawing/2014/chart" uri="{C3380CC4-5D6E-409C-BE32-E72D297353CC}">
              <c16:uniqueId val="{00000028-1491-467E-B9F1-75460D4C920C}"/>
            </c:ext>
          </c:extLst>
        </c:ser>
        <c:ser>
          <c:idx val="41"/>
          <c:order val="41"/>
          <c:tx>
            <c:strRef>
              <c:f>'Cleaned Data'!$A$43</c:f>
              <c:strCache>
                <c:ptCount val="1"/>
                <c:pt idx="0">
                  <c:v>Arcblock</c:v>
                </c:pt>
              </c:strCache>
            </c:strRef>
          </c:tx>
          <c:spPr>
            <a:solidFill>
              <a:schemeClr val="accent6">
                <a:lumMod val="70000"/>
                <a:lumOff val="30000"/>
              </a:schemeClr>
            </a:solidFill>
            <a:ln>
              <a:noFill/>
            </a:ln>
            <a:effectLst/>
          </c:spPr>
          <c:invertIfNegative val="0"/>
          <c:cat>
            <c:strRef>
              <c:f>'Cleaned Data'!$F$1</c:f>
              <c:strCache>
                <c:ptCount val="1"/>
                <c:pt idx="0">
                  <c:v> Volume (24) USD_cleaned </c:v>
                </c:pt>
              </c:strCache>
            </c:strRef>
          </c:cat>
          <c:val>
            <c:numRef>
              <c:f>'Cleaned Data'!$F$43</c:f>
            </c:numRef>
          </c:val>
          <c:extLst>
            <c:ext xmlns:c16="http://schemas.microsoft.com/office/drawing/2014/chart" uri="{C3380CC4-5D6E-409C-BE32-E72D297353CC}">
              <c16:uniqueId val="{00000029-1491-467E-B9F1-75460D4C920C}"/>
            </c:ext>
          </c:extLst>
        </c:ser>
        <c:ser>
          <c:idx val="42"/>
          <c:order val="42"/>
          <c:tx>
            <c:strRef>
              <c:f>'Cleaned Data'!$A$44</c:f>
              <c:strCache>
                <c:ptCount val="1"/>
                <c:pt idx="0">
                  <c:v>Memecoin</c:v>
                </c:pt>
              </c:strCache>
            </c:strRef>
          </c:tx>
          <c:spPr>
            <a:solidFill>
              <a:schemeClr val="accent1">
                <a:lumMod val="70000"/>
              </a:schemeClr>
            </a:solidFill>
            <a:ln>
              <a:noFill/>
            </a:ln>
            <a:effectLst/>
          </c:spPr>
          <c:invertIfNegative val="0"/>
          <c:cat>
            <c:strRef>
              <c:f>'Cleaned Data'!$F$1</c:f>
              <c:strCache>
                <c:ptCount val="1"/>
                <c:pt idx="0">
                  <c:v> Volume (24) USD_cleaned </c:v>
                </c:pt>
              </c:strCache>
            </c:strRef>
          </c:cat>
          <c:val>
            <c:numRef>
              <c:f>'Cleaned Data'!$F$44</c:f>
            </c:numRef>
          </c:val>
          <c:extLst>
            <c:ext xmlns:c16="http://schemas.microsoft.com/office/drawing/2014/chart" uri="{C3380CC4-5D6E-409C-BE32-E72D297353CC}">
              <c16:uniqueId val="{0000002A-1491-467E-B9F1-75460D4C920C}"/>
            </c:ext>
          </c:extLst>
        </c:ser>
        <c:ser>
          <c:idx val="43"/>
          <c:order val="43"/>
          <c:tx>
            <c:strRef>
              <c:f>'Cleaned Data'!$A$45</c:f>
              <c:strCache>
                <c:ptCount val="1"/>
                <c:pt idx="0">
                  <c:v>MiL.k</c:v>
                </c:pt>
              </c:strCache>
            </c:strRef>
          </c:tx>
          <c:spPr>
            <a:solidFill>
              <a:schemeClr val="accent2">
                <a:lumMod val="70000"/>
              </a:schemeClr>
            </a:solidFill>
            <a:ln>
              <a:noFill/>
            </a:ln>
            <a:effectLst/>
          </c:spPr>
          <c:invertIfNegative val="0"/>
          <c:cat>
            <c:strRef>
              <c:f>'Cleaned Data'!$F$1</c:f>
              <c:strCache>
                <c:ptCount val="1"/>
                <c:pt idx="0">
                  <c:v> Volume (24) USD_cleaned </c:v>
                </c:pt>
              </c:strCache>
            </c:strRef>
          </c:cat>
          <c:val>
            <c:numRef>
              <c:f>'Cleaned Data'!$F$45</c:f>
            </c:numRef>
          </c:val>
          <c:extLst>
            <c:ext xmlns:c16="http://schemas.microsoft.com/office/drawing/2014/chart" uri="{C3380CC4-5D6E-409C-BE32-E72D297353CC}">
              <c16:uniqueId val="{0000002B-1491-467E-B9F1-75460D4C920C}"/>
            </c:ext>
          </c:extLst>
        </c:ser>
        <c:ser>
          <c:idx val="44"/>
          <c:order val="44"/>
          <c:tx>
            <c:strRef>
              <c:f>'Cleaned Data'!$A$46</c:f>
              <c:strCache>
                <c:ptCount val="1"/>
                <c:pt idx="0">
                  <c:v>dKargo</c:v>
                </c:pt>
              </c:strCache>
            </c:strRef>
          </c:tx>
          <c:spPr>
            <a:solidFill>
              <a:schemeClr val="accent3">
                <a:lumMod val="70000"/>
              </a:schemeClr>
            </a:solidFill>
            <a:ln>
              <a:noFill/>
            </a:ln>
            <a:effectLst/>
          </c:spPr>
          <c:invertIfNegative val="0"/>
          <c:cat>
            <c:strRef>
              <c:f>'Cleaned Data'!$F$1</c:f>
              <c:strCache>
                <c:ptCount val="1"/>
                <c:pt idx="0">
                  <c:v> Volume (24) USD_cleaned </c:v>
                </c:pt>
              </c:strCache>
            </c:strRef>
          </c:cat>
          <c:val>
            <c:numRef>
              <c:f>'Cleaned Data'!$F$46</c:f>
            </c:numRef>
          </c:val>
          <c:extLst>
            <c:ext xmlns:c16="http://schemas.microsoft.com/office/drawing/2014/chart" uri="{C3380CC4-5D6E-409C-BE32-E72D297353CC}">
              <c16:uniqueId val="{0000002C-1491-467E-B9F1-75460D4C920C}"/>
            </c:ext>
          </c:extLst>
        </c:ser>
        <c:ser>
          <c:idx val="45"/>
          <c:order val="45"/>
          <c:tx>
            <c:strRef>
              <c:f>'Cleaned Data'!$A$47</c:f>
              <c:strCache>
                <c:ptCount val="1"/>
                <c:pt idx="0">
                  <c:v>AI Companions</c:v>
                </c:pt>
              </c:strCache>
            </c:strRef>
          </c:tx>
          <c:spPr>
            <a:solidFill>
              <a:schemeClr val="accent4">
                <a:lumMod val="70000"/>
              </a:schemeClr>
            </a:solidFill>
            <a:ln>
              <a:noFill/>
            </a:ln>
            <a:effectLst/>
          </c:spPr>
          <c:invertIfNegative val="0"/>
          <c:cat>
            <c:strRef>
              <c:f>'Cleaned Data'!$F$1</c:f>
              <c:strCache>
                <c:ptCount val="1"/>
                <c:pt idx="0">
                  <c:v> Volume (24) USD_cleaned </c:v>
                </c:pt>
              </c:strCache>
            </c:strRef>
          </c:cat>
          <c:val>
            <c:numRef>
              <c:f>'Cleaned Data'!$F$47</c:f>
            </c:numRef>
          </c:val>
          <c:extLst>
            <c:ext xmlns:c16="http://schemas.microsoft.com/office/drawing/2014/chart" uri="{C3380CC4-5D6E-409C-BE32-E72D297353CC}">
              <c16:uniqueId val="{0000002D-1491-467E-B9F1-75460D4C920C}"/>
            </c:ext>
          </c:extLst>
        </c:ser>
        <c:ser>
          <c:idx val="46"/>
          <c:order val="46"/>
          <c:tx>
            <c:strRef>
              <c:f>'Cleaned Data'!$A$48</c:f>
              <c:strCache>
                <c:ptCount val="1"/>
                <c:pt idx="0">
                  <c:v>Degen</c:v>
                </c:pt>
              </c:strCache>
            </c:strRef>
          </c:tx>
          <c:spPr>
            <a:solidFill>
              <a:schemeClr val="accent5">
                <a:lumMod val="70000"/>
              </a:schemeClr>
            </a:solidFill>
            <a:ln>
              <a:noFill/>
            </a:ln>
            <a:effectLst/>
          </c:spPr>
          <c:invertIfNegative val="0"/>
          <c:cat>
            <c:strRef>
              <c:f>'Cleaned Data'!$F$1</c:f>
              <c:strCache>
                <c:ptCount val="1"/>
                <c:pt idx="0">
                  <c:v> Volume (24) USD_cleaned </c:v>
                </c:pt>
              </c:strCache>
            </c:strRef>
          </c:cat>
          <c:val>
            <c:numRef>
              <c:f>'Cleaned Data'!$F$48</c:f>
            </c:numRef>
          </c:val>
          <c:extLst>
            <c:ext xmlns:c16="http://schemas.microsoft.com/office/drawing/2014/chart" uri="{C3380CC4-5D6E-409C-BE32-E72D297353CC}">
              <c16:uniqueId val="{0000002E-1491-467E-B9F1-75460D4C920C}"/>
            </c:ext>
          </c:extLst>
        </c:ser>
        <c:ser>
          <c:idx val="47"/>
          <c:order val="47"/>
          <c:tx>
            <c:strRef>
              <c:f>'Cleaned Data'!$A$49</c:f>
              <c:strCache>
                <c:ptCount val="1"/>
                <c:pt idx="0">
                  <c:v>Aevo</c:v>
                </c:pt>
              </c:strCache>
            </c:strRef>
          </c:tx>
          <c:spPr>
            <a:solidFill>
              <a:schemeClr val="accent6">
                <a:lumMod val="70000"/>
              </a:schemeClr>
            </a:solidFill>
            <a:ln>
              <a:noFill/>
            </a:ln>
            <a:effectLst/>
          </c:spPr>
          <c:invertIfNegative val="0"/>
          <c:cat>
            <c:strRef>
              <c:f>'Cleaned Data'!$F$1</c:f>
              <c:strCache>
                <c:ptCount val="1"/>
                <c:pt idx="0">
                  <c:v> Volume (24) USD_cleaned </c:v>
                </c:pt>
              </c:strCache>
            </c:strRef>
          </c:cat>
          <c:val>
            <c:numRef>
              <c:f>'Cleaned Data'!$F$49</c:f>
            </c:numRef>
          </c:val>
          <c:extLst>
            <c:ext xmlns:c16="http://schemas.microsoft.com/office/drawing/2014/chart" uri="{C3380CC4-5D6E-409C-BE32-E72D297353CC}">
              <c16:uniqueId val="{0000002F-1491-467E-B9F1-75460D4C920C}"/>
            </c:ext>
          </c:extLst>
        </c:ser>
        <c:ser>
          <c:idx val="48"/>
          <c:order val="48"/>
          <c:tx>
            <c:strRef>
              <c:f>'Cleaned Data'!$A$50</c:f>
              <c:strCache>
                <c:ptCount val="1"/>
                <c:pt idx="0">
                  <c:v>Spark</c:v>
                </c:pt>
              </c:strCache>
            </c:strRef>
          </c:tx>
          <c:spPr>
            <a:solidFill>
              <a:schemeClr val="accent1">
                <a:lumMod val="50000"/>
                <a:lumOff val="50000"/>
              </a:schemeClr>
            </a:solidFill>
            <a:ln>
              <a:noFill/>
            </a:ln>
            <a:effectLst/>
          </c:spPr>
          <c:invertIfNegative val="0"/>
          <c:cat>
            <c:strRef>
              <c:f>'Cleaned Data'!$F$1</c:f>
              <c:strCache>
                <c:ptCount val="1"/>
                <c:pt idx="0">
                  <c:v> Volume (24) USD_cleaned </c:v>
                </c:pt>
              </c:strCache>
            </c:strRef>
          </c:cat>
          <c:val>
            <c:numRef>
              <c:f>'Cleaned Data'!$F$50</c:f>
            </c:numRef>
          </c:val>
          <c:extLst>
            <c:ext xmlns:c16="http://schemas.microsoft.com/office/drawing/2014/chart" uri="{C3380CC4-5D6E-409C-BE32-E72D297353CC}">
              <c16:uniqueId val="{00000030-1491-467E-B9F1-75460D4C920C}"/>
            </c:ext>
          </c:extLst>
        </c:ser>
        <c:ser>
          <c:idx val="49"/>
          <c:order val="49"/>
          <c:tx>
            <c:strRef>
              <c:f>'Cleaned Data'!$A$51</c:f>
              <c:strCache>
                <c:ptCount val="1"/>
                <c:pt idx="0">
                  <c:v>Global Commercial Business</c:v>
                </c:pt>
              </c:strCache>
            </c:strRef>
          </c:tx>
          <c:spPr>
            <a:solidFill>
              <a:schemeClr val="accent2">
                <a:lumMod val="50000"/>
                <a:lumOff val="50000"/>
              </a:schemeClr>
            </a:solidFill>
            <a:ln>
              <a:noFill/>
            </a:ln>
            <a:effectLst/>
          </c:spPr>
          <c:invertIfNegative val="0"/>
          <c:cat>
            <c:strRef>
              <c:f>'Cleaned Data'!$F$1</c:f>
              <c:strCache>
                <c:ptCount val="1"/>
                <c:pt idx="0">
                  <c:v> Volume (24) USD_cleaned </c:v>
                </c:pt>
              </c:strCache>
            </c:strRef>
          </c:cat>
          <c:val>
            <c:numRef>
              <c:f>'Cleaned Data'!$F$51</c:f>
            </c:numRef>
          </c:val>
          <c:extLst>
            <c:ext xmlns:c16="http://schemas.microsoft.com/office/drawing/2014/chart" uri="{C3380CC4-5D6E-409C-BE32-E72D297353CC}">
              <c16:uniqueId val="{00000031-1491-467E-B9F1-75460D4C920C}"/>
            </c:ext>
          </c:extLst>
        </c:ser>
        <c:ser>
          <c:idx val="50"/>
          <c:order val="50"/>
          <c:tx>
            <c:strRef>
              <c:f>'Cleaned Data'!$A$52</c:f>
              <c:strCache>
                <c:ptCount val="1"/>
                <c:pt idx="0">
                  <c:v>NEM</c:v>
                </c:pt>
              </c:strCache>
            </c:strRef>
          </c:tx>
          <c:spPr>
            <a:solidFill>
              <a:schemeClr val="accent3">
                <a:lumMod val="50000"/>
                <a:lumOff val="50000"/>
              </a:schemeClr>
            </a:solidFill>
            <a:ln>
              <a:noFill/>
            </a:ln>
            <a:effectLst/>
          </c:spPr>
          <c:invertIfNegative val="0"/>
          <c:cat>
            <c:strRef>
              <c:f>'Cleaned Data'!$F$1</c:f>
              <c:strCache>
                <c:ptCount val="1"/>
                <c:pt idx="0">
                  <c:v> Volume (24) USD_cleaned </c:v>
                </c:pt>
              </c:strCache>
            </c:strRef>
          </c:cat>
          <c:val>
            <c:numRef>
              <c:f>'Cleaned Data'!$F$52</c:f>
            </c:numRef>
          </c:val>
          <c:extLst>
            <c:ext xmlns:c16="http://schemas.microsoft.com/office/drawing/2014/chart" uri="{C3380CC4-5D6E-409C-BE32-E72D297353CC}">
              <c16:uniqueId val="{00000032-1491-467E-B9F1-75460D4C920C}"/>
            </c:ext>
          </c:extLst>
        </c:ser>
        <c:ser>
          <c:idx val="51"/>
          <c:order val="51"/>
          <c:tx>
            <c:strRef>
              <c:f>'Cleaned Data'!$A$53</c:f>
              <c:strCache>
                <c:ptCount val="1"/>
                <c:pt idx="0">
                  <c:v>Humans.ai</c:v>
                </c:pt>
              </c:strCache>
            </c:strRef>
          </c:tx>
          <c:spPr>
            <a:solidFill>
              <a:schemeClr val="accent4">
                <a:lumMod val="50000"/>
                <a:lumOff val="50000"/>
              </a:schemeClr>
            </a:solidFill>
            <a:ln>
              <a:noFill/>
            </a:ln>
            <a:effectLst/>
          </c:spPr>
          <c:invertIfNegative val="0"/>
          <c:cat>
            <c:strRef>
              <c:f>'Cleaned Data'!$F$1</c:f>
              <c:strCache>
                <c:ptCount val="1"/>
                <c:pt idx="0">
                  <c:v> Volume (24) USD_cleaned </c:v>
                </c:pt>
              </c:strCache>
            </c:strRef>
          </c:cat>
          <c:val>
            <c:numRef>
              <c:f>'Cleaned Data'!$F$53</c:f>
            </c:numRef>
          </c:val>
          <c:extLst>
            <c:ext xmlns:c16="http://schemas.microsoft.com/office/drawing/2014/chart" uri="{C3380CC4-5D6E-409C-BE32-E72D297353CC}">
              <c16:uniqueId val="{00000033-1491-467E-B9F1-75460D4C920C}"/>
            </c:ext>
          </c:extLst>
        </c:ser>
        <c:ser>
          <c:idx val="52"/>
          <c:order val="52"/>
          <c:tx>
            <c:strRef>
              <c:f>'Cleaned Data'!$A$54</c:f>
              <c:strCache>
                <c:ptCount val="1"/>
                <c:pt idx="0">
                  <c:v>Oasys</c:v>
                </c:pt>
              </c:strCache>
            </c:strRef>
          </c:tx>
          <c:spPr>
            <a:solidFill>
              <a:schemeClr val="accent5">
                <a:lumMod val="50000"/>
                <a:lumOff val="50000"/>
              </a:schemeClr>
            </a:solidFill>
            <a:ln>
              <a:noFill/>
            </a:ln>
            <a:effectLst/>
          </c:spPr>
          <c:invertIfNegative val="0"/>
          <c:cat>
            <c:strRef>
              <c:f>'Cleaned Data'!$F$1</c:f>
              <c:strCache>
                <c:ptCount val="1"/>
                <c:pt idx="0">
                  <c:v> Volume (24) USD_cleaned </c:v>
                </c:pt>
              </c:strCache>
            </c:strRef>
          </c:cat>
          <c:val>
            <c:numRef>
              <c:f>'Cleaned Data'!$F$54</c:f>
            </c:numRef>
          </c:val>
          <c:extLst>
            <c:ext xmlns:c16="http://schemas.microsoft.com/office/drawing/2014/chart" uri="{C3380CC4-5D6E-409C-BE32-E72D297353CC}">
              <c16:uniqueId val="{00000034-1491-467E-B9F1-75460D4C920C}"/>
            </c:ext>
          </c:extLst>
        </c:ser>
        <c:ser>
          <c:idx val="53"/>
          <c:order val="53"/>
          <c:tx>
            <c:strRef>
              <c:f>'Cleaned Data'!$A$55</c:f>
              <c:strCache>
                <c:ptCount val="1"/>
                <c:pt idx="0">
                  <c:v>Smooth Love Potion</c:v>
                </c:pt>
              </c:strCache>
            </c:strRef>
          </c:tx>
          <c:spPr>
            <a:solidFill>
              <a:schemeClr val="accent6">
                <a:lumMod val="50000"/>
                <a:lumOff val="50000"/>
              </a:schemeClr>
            </a:solidFill>
            <a:ln>
              <a:noFill/>
            </a:ln>
            <a:effectLst/>
          </c:spPr>
          <c:invertIfNegative val="0"/>
          <c:cat>
            <c:strRef>
              <c:f>'Cleaned Data'!$F$1</c:f>
              <c:strCache>
                <c:ptCount val="1"/>
                <c:pt idx="0">
                  <c:v> Volume (24) USD_cleaned </c:v>
                </c:pt>
              </c:strCache>
            </c:strRef>
          </c:cat>
          <c:val>
            <c:numRef>
              <c:f>'Cleaned Data'!$F$55</c:f>
            </c:numRef>
          </c:val>
          <c:extLst>
            <c:ext xmlns:c16="http://schemas.microsoft.com/office/drawing/2014/chart" uri="{C3380CC4-5D6E-409C-BE32-E72D297353CC}">
              <c16:uniqueId val="{00000035-1491-467E-B9F1-75460D4C920C}"/>
            </c:ext>
          </c:extLst>
        </c:ser>
        <c:ser>
          <c:idx val="54"/>
          <c:order val="54"/>
          <c:tx>
            <c:strRef>
              <c:f>'Cleaned Data'!$A$56</c:f>
              <c:strCache>
                <c:ptCount val="1"/>
                <c:pt idx="0">
                  <c:v>Neutron</c:v>
                </c:pt>
              </c:strCache>
            </c:strRef>
          </c:tx>
          <c:spPr>
            <a:solidFill>
              <a:schemeClr val="accent1"/>
            </a:solidFill>
            <a:ln>
              <a:noFill/>
            </a:ln>
            <a:effectLst/>
          </c:spPr>
          <c:invertIfNegative val="0"/>
          <c:cat>
            <c:strRef>
              <c:f>'Cleaned Data'!$F$1</c:f>
              <c:strCache>
                <c:ptCount val="1"/>
                <c:pt idx="0">
                  <c:v> Volume (24) USD_cleaned </c:v>
                </c:pt>
              </c:strCache>
            </c:strRef>
          </c:cat>
          <c:val>
            <c:numRef>
              <c:f>'Cleaned Data'!$F$56</c:f>
            </c:numRef>
          </c:val>
          <c:extLst>
            <c:ext xmlns:c16="http://schemas.microsoft.com/office/drawing/2014/chart" uri="{C3380CC4-5D6E-409C-BE32-E72D297353CC}">
              <c16:uniqueId val="{00000036-1491-467E-B9F1-75460D4C920C}"/>
            </c:ext>
          </c:extLst>
        </c:ser>
        <c:ser>
          <c:idx val="55"/>
          <c:order val="55"/>
          <c:tx>
            <c:strRef>
              <c:f>'Cleaned Data'!$A$57</c:f>
              <c:strCache>
                <c:ptCount val="1"/>
                <c:pt idx="0">
                  <c:v>Eurite</c:v>
                </c:pt>
              </c:strCache>
            </c:strRef>
          </c:tx>
          <c:spPr>
            <a:solidFill>
              <a:schemeClr val="accent2"/>
            </a:solidFill>
            <a:ln>
              <a:noFill/>
            </a:ln>
            <a:effectLst/>
          </c:spPr>
          <c:invertIfNegative val="0"/>
          <c:cat>
            <c:strRef>
              <c:f>'Cleaned Data'!$F$1</c:f>
              <c:strCache>
                <c:ptCount val="1"/>
                <c:pt idx="0">
                  <c:v> Volume (24) USD_cleaned </c:v>
                </c:pt>
              </c:strCache>
            </c:strRef>
          </c:cat>
          <c:val>
            <c:numRef>
              <c:f>'Cleaned Data'!$F$57</c:f>
              <c:numCache>
                <c:formatCode>_("$"* #,##0_);_("$"* \(#,##0\);_("$"* "-"??_);_(@_)</c:formatCode>
                <c:ptCount val="1"/>
                <c:pt idx="0">
                  <c:v>22680605</c:v>
                </c:pt>
              </c:numCache>
            </c:numRef>
          </c:val>
          <c:extLst>
            <c:ext xmlns:c16="http://schemas.microsoft.com/office/drawing/2014/chart" uri="{C3380CC4-5D6E-409C-BE32-E72D297353CC}">
              <c16:uniqueId val="{00000037-1491-467E-B9F1-75460D4C920C}"/>
            </c:ext>
          </c:extLst>
        </c:ser>
        <c:ser>
          <c:idx val="56"/>
          <c:order val="56"/>
          <c:tx>
            <c:strRef>
              <c:f>'Cleaned Data'!$A$58</c:f>
              <c:strCache>
                <c:ptCount val="1"/>
                <c:pt idx="0">
                  <c:v>ANDY (ETH)</c:v>
                </c:pt>
              </c:strCache>
            </c:strRef>
          </c:tx>
          <c:spPr>
            <a:solidFill>
              <a:schemeClr val="accent3"/>
            </a:solidFill>
            <a:ln>
              <a:noFill/>
            </a:ln>
            <a:effectLst/>
          </c:spPr>
          <c:invertIfNegative val="0"/>
          <c:cat>
            <c:strRef>
              <c:f>'Cleaned Data'!$F$1</c:f>
              <c:strCache>
                <c:ptCount val="1"/>
                <c:pt idx="0">
                  <c:v> Volume (24) USD_cleaned </c:v>
                </c:pt>
              </c:strCache>
            </c:strRef>
          </c:cat>
          <c:val>
            <c:numRef>
              <c:f>'Cleaned Data'!$F$58</c:f>
            </c:numRef>
          </c:val>
          <c:extLst>
            <c:ext xmlns:c16="http://schemas.microsoft.com/office/drawing/2014/chart" uri="{C3380CC4-5D6E-409C-BE32-E72D297353CC}">
              <c16:uniqueId val="{00000038-1491-467E-B9F1-75460D4C920C}"/>
            </c:ext>
          </c:extLst>
        </c:ser>
        <c:ser>
          <c:idx val="57"/>
          <c:order val="57"/>
          <c:tx>
            <c:strRef>
              <c:f>'Cleaned Data'!$A$59</c:f>
              <c:strCache>
                <c:ptCount val="1"/>
                <c:pt idx="0">
                  <c:v>GameBuild</c:v>
                </c:pt>
              </c:strCache>
            </c:strRef>
          </c:tx>
          <c:spPr>
            <a:solidFill>
              <a:schemeClr val="accent4"/>
            </a:solidFill>
            <a:ln>
              <a:noFill/>
            </a:ln>
            <a:effectLst/>
          </c:spPr>
          <c:invertIfNegative val="0"/>
          <c:cat>
            <c:strRef>
              <c:f>'Cleaned Data'!$F$1</c:f>
              <c:strCache>
                <c:ptCount val="1"/>
                <c:pt idx="0">
                  <c:v> Volume (24) USD_cleaned </c:v>
                </c:pt>
              </c:strCache>
            </c:strRef>
          </c:cat>
          <c:val>
            <c:numRef>
              <c:f>'Cleaned Data'!$F$59</c:f>
            </c:numRef>
          </c:val>
          <c:extLst>
            <c:ext xmlns:c16="http://schemas.microsoft.com/office/drawing/2014/chart" uri="{C3380CC4-5D6E-409C-BE32-E72D297353CC}">
              <c16:uniqueId val="{00000039-1491-467E-B9F1-75460D4C920C}"/>
            </c:ext>
          </c:extLst>
        </c:ser>
        <c:ser>
          <c:idx val="58"/>
          <c:order val="58"/>
          <c:tx>
            <c:strRef>
              <c:f>'Cleaned Data'!$A$60</c:f>
              <c:strCache>
                <c:ptCount val="1"/>
                <c:pt idx="0">
                  <c:v>Tornado Cash</c:v>
                </c:pt>
              </c:strCache>
            </c:strRef>
          </c:tx>
          <c:spPr>
            <a:solidFill>
              <a:schemeClr val="accent5"/>
            </a:solidFill>
            <a:ln>
              <a:noFill/>
            </a:ln>
            <a:effectLst/>
          </c:spPr>
          <c:invertIfNegative val="0"/>
          <c:cat>
            <c:strRef>
              <c:f>'Cleaned Data'!$F$1</c:f>
              <c:strCache>
                <c:ptCount val="1"/>
                <c:pt idx="0">
                  <c:v> Volume (24) USD_cleaned </c:v>
                </c:pt>
              </c:strCache>
            </c:strRef>
          </c:cat>
          <c:val>
            <c:numRef>
              <c:f>'Cleaned Data'!$F$60</c:f>
            </c:numRef>
          </c:val>
          <c:extLst>
            <c:ext xmlns:c16="http://schemas.microsoft.com/office/drawing/2014/chart" uri="{C3380CC4-5D6E-409C-BE32-E72D297353CC}">
              <c16:uniqueId val="{0000003A-1491-467E-B9F1-75460D4C920C}"/>
            </c:ext>
          </c:extLst>
        </c:ser>
        <c:ser>
          <c:idx val="59"/>
          <c:order val="59"/>
          <c:tx>
            <c:strRef>
              <c:f>'Cleaned Data'!$A$61</c:f>
              <c:strCache>
                <c:ptCount val="1"/>
                <c:pt idx="0">
                  <c:v>DeFi Pulse Index</c:v>
                </c:pt>
              </c:strCache>
            </c:strRef>
          </c:tx>
          <c:spPr>
            <a:solidFill>
              <a:schemeClr val="accent6"/>
            </a:solidFill>
            <a:ln>
              <a:noFill/>
            </a:ln>
            <a:effectLst/>
          </c:spPr>
          <c:invertIfNegative val="0"/>
          <c:cat>
            <c:strRef>
              <c:f>'Cleaned Data'!$F$1</c:f>
              <c:strCache>
                <c:ptCount val="1"/>
                <c:pt idx="0">
                  <c:v> Volume (24) USD_cleaned </c:v>
                </c:pt>
              </c:strCache>
            </c:strRef>
          </c:cat>
          <c:val>
            <c:numRef>
              <c:f>'Cleaned Data'!$F$61</c:f>
            </c:numRef>
          </c:val>
          <c:extLst>
            <c:ext xmlns:c16="http://schemas.microsoft.com/office/drawing/2014/chart" uri="{C3380CC4-5D6E-409C-BE32-E72D297353CC}">
              <c16:uniqueId val="{0000003B-1491-467E-B9F1-75460D4C920C}"/>
            </c:ext>
          </c:extLst>
        </c:ser>
        <c:ser>
          <c:idx val="60"/>
          <c:order val="60"/>
          <c:tx>
            <c:strRef>
              <c:f>'Cleaned Data'!$A$62</c:f>
              <c:strCache>
                <c:ptCount val="1"/>
                <c:pt idx="0">
                  <c:v>Kujira</c:v>
                </c:pt>
              </c:strCache>
            </c:strRef>
          </c:tx>
          <c:spPr>
            <a:solidFill>
              <a:schemeClr val="accent1">
                <a:lumMod val="60000"/>
              </a:schemeClr>
            </a:solidFill>
            <a:ln>
              <a:noFill/>
            </a:ln>
            <a:effectLst/>
          </c:spPr>
          <c:invertIfNegative val="0"/>
          <c:cat>
            <c:strRef>
              <c:f>'Cleaned Data'!$F$1</c:f>
              <c:strCache>
                <c:ptCount val="1"/>
                <c:pt idx="0">
                  <c:v> Volume (24) USD_cleaned </c:v>
                </c:pt>
              </c:strCache>
            </c:strRef>
          </c:cat>
          <c:val>
            <c:numRef>
              <c:f>'Cleaned Data'!$F$62</c:f>
            </c:numRef>
          </c:val>
          <c:extLst>
            <c:ext xmlns:c16="http://schemas.microsoft.com/office/drawing/2014/chart" uri="{C3380CC4-5D6E-409C-BE32-E72D297353CC}">
              <c16:uniqueId val="{0000003C-1491-467E-B9F1-75460D4C920C}"/>
            </c:ext>
          </c:extLst>
        </c:ser>
        <c:ser>
          <c:idx val="61"/>
          <c:order val="61"/>
          <c:tx>
            <c:strRef>
              <c:f>'Cleaned Data'!$A$63</c:f>
              <c:strCache>
                <c:ptCount val="1"/>
                <c:pt idx="0">
                  <c:v>Gains Network</c:v>
                </c:pt>
              </c:strCache>
            </c:strRef>
          </c:tx>
          <c:spPr>
            <a:solidFill>
              <a:schemeClr val="accent2">
                <a:lumMod val="60000"/>
              </a:schemeClr>
            </a:solidFill>
            <a:ln>
              <a:noFill/>
            </a:ln>
            <a:effectLst/>
          </c:spPr>
          <c:invertIfNegative val="0"/>
          <c:cat>
            <c:strRef>
              <c:f>'Cleaned Data'!$F$1</c:f>
              <c:strCache>
                <c:ptCount val="1"/>
                <c:pt idx="0">
                  <c:v> Volume (24) USD_cleaned </c:v>
                </c:pt>
              </c:strCache>
            </c:strRef>
          </c:cat>
          <c:val>
            <c:numRef>
              <c:f>'Cleaned Data'!$F$63</c:f>
            </c:numRef>
          </c:val>
          <c:extLst>
            <c:ext xmlns:c16="http://schemas.microsoft.com/office/drawing/2014/chart" uri="{C3380CC4-5D6E-409C-BE32-E72D297353CC}">
              <c16:uniqueId val="{0000003D-1491-467E-B9F1-75460D4C920C}"/>
            </c:ext>
          </c:extLst>
        </c:ser>
        <c:ser>
          <c:idx val="62"/>
          <c:order val="62"/>
          <c:tx>
            <c:strRef>
              <c:f>'Cleaned Data'!$A$64</c:f>
              <c:strCache>
                <c:ptCount val="1"/>
                <c:pt idx="0">
                  <c:v>AVA (Travala)</c:v>
                </c:pt>
              </c:strCache>
            </c:strRef>
          </c:tx>
          <c:spPr>
            <a:solidFill>
              <a:schemeClr val="accent3">
                <a:lumMod val="60000"/>
              </a:schemeClr>
            </a:solidFill>
            <a:ln>
              <a:noFill/>
            </a:ln>
            <a:effectLst/>
          </c:spPr>
          <c:invertIfNegative val="0"/>
          <c:cat>
            <c:strRef>
              <c:f>'Cleaned Data'!$F$1</c:f>
              <c:strCache>
                <c:ptCount val="1"/>
                <c:pt idx="0">
                  <c:v> Volume (24) USD_cleaned </c:v>
                </c:pt>
              </c:strCache>
            </c:strRef>
          </c:cat>
          <c:val>
            <c:numRef>
              <c:f>'Cleaned Data'!$F$64</c:f>
            </c:numRef>
          </c:val>
          <c:extLst>
            <c:ext xmlns:c16="http://schemas.microsoft.com/office/drawing/2014/chart" uri="{C3380CC4-5D6E-409C-BE32-E72D297353CC}">
              <c16:uniqueId val="{0000003E-1491-467E-B9F1-75460D4C920C}"/>
            </c:ext>
          </c:extLst>
        </c:ser>
        <c:ser>
          <c:idx val="63"/>
          <c:order val="63"/>
          <c:tx>
            <c:strRef>
              <c:f>'Cleaned Data'!$A$65</c:f>
              <c:strCache>
                <c:ptCount val="1"/>
                <c:pt idx="0">
                  <c:v>DEAPcoin</c:v>
                </c:pt>
              </c:strCache>
            </c:strRef>
          </c:tx>
          <c:spPr>
            <a:solidFill>
              <a:schemeClr val="accent4">
                <a:lumMod val="60000"/>
              </a:schemeClr>
            </a:solidFill>
            <a:ln>
              <a:noFill/>
            </a:ln>
            <a:effectLst/>
          </c:spPr>
          <c:invertIfNegative val="0"/>
          <c:cat>
            <c:strRef>
              <c:f>'Cleaned Data'!$F$1</c:f>
              <c:strCache>
                <c:ptCount val="1"/>
                <c:pt idx="0">
                  <c:v> Volume (24) USD_cleaned </c:v>
                </c:pt>
              </c:strCache>
            </c:strRef>
          </c:cat>
          <c:val>
            <c:numRef>
              <c:f>'Cleaned Data'!$F$65</c:f>
            </c:numRef>
          </c:val>
          <c:extLst>
            <c:ext xmlns:c16="http://schemas.microsoft.com/office/drawing/2014/chart" uri="{C3380CC4-5D6E-409C-BE32-E72D297353CC}">
              <c16:uniqueId val="{0000003F-1491-467E-B9F1-75460D4C920C}"/>
            </c:ext>
          </c:extLst>
        </c:ser>
        <c:ser>
          <c:idx val="64"/>
          <c:order val="64"/>
          <c:tx>
            <c:strRef>
              <c:f>'Cleaned Data'!$A$66</c:f>
              <c:strCache>
                <c:ptCount val="1"/>
                <c:pt idx="0">
                  <c:v>The Arena</c:v>
                </c:pt>
              </c:strCache>
            </c:strRef>
          </c:tx>
          <c:spPr>
            <a:solidFill>
              <a:schemeClr val="accent5">
                <a:lumMod val="60000"/>
              </a:schemeClr>
            </a:solidFill>
            <a:ln>
              <a:noFill/>
            </a:ln>
            <a:effectLst/>
          </c:spPr>
          <c:invertIfNegative val="0"/>
          <c:cat>
            <c:strRef>
              <c:f>'Cleaned Data'!$F$1</c:f>
              <c:strCache>
                <c:ptCount val="1"/>
                <c:pt idx="0">
                  <c:v> Volume (24) USD_cleaned </c:v>
                </c:pt>
              </c:strCache>
            </c:strRef>
          </c:cat>
          <c:val>
            <c:numRef>
              <c:f>'Cleaned Data'!$F$66</c:f>
            </c:numRef>
          </c:val>
          <c:extLst>
            <c:ext xmlns:c16="http://schemas.microsoft.com/office/drawing/2014/chart" uri="{C3380CC4-5D6E-409C-BE32-E72D297353CC}">
              <c16:uniqueId val="{00000040-1491-467E-B9F1-75460D4C920C}"/>
            </c:ext>
          </c:extLst>
        </c:ser>
        <c:ser>
          <c:idx val="65"/>
          <c:order val="65"/>
          <c:tx>
            <c:strRef>
              <c:f>'Cleaned Data'!$A$67</c:f>
              <c:strCache>
                <c:ptCount val="1"/>
                <c:pt idx="0">
                  <c:v>Dohrnii</c:v>
                </c:pt>
              </c:strCache>
            </c:strRef>
          </c:tx>
          <c:spPr>
            <a:solidFill>
              <a:schemeClr val="accent6">
                <a:lumMod val="60000"/>
              </a:schemeClr>
            </a:solidFill>
            <a:ln>
              <a:noFill/>
            </a:ln>
            <a:effectLst/>
          </c:spPr>
          <c:invertIfNegative val="0"/>
          <c:cat>
            <c:strRef>
              <c:f>'Cleaned Data'!$F$1</c:f>
              <c:strCache>
                <c:ptCount val="1"/>
                <c:pt idx="0">
                  <c:v> Volume (24) USD_cleaned </c:v>
                </c:pt>
              </c:strCache>
            </c:strRef>
          </c:cat>
          <c:val>
            <c:numRef>
              <c:f>'Cleaned Data'!$F$67</c:f>
            </c:numRef>
          </c:val>
          <c:extLst>
            <c:ext xmlns:c16="http://schemas.microsoft.com/office/drawing/2014/chart" uri="{C3380CC4-5D6E-409C-BE32-E72D297353CC}">
              <c16:uniqueId val="{00000041-1491-467E-B9F1-75460D4C920C}"/>
            </c:ext>
          </c:extLst>
        </c:ser>
        <c:ser>
          <c:idx val="66"/>
          <c:order val="66"/>
          <c:tx>
            <c:strRef>
              <c:f>'Cleaned Data'!$A$68</c:f>
              <c:strCache>
                <c:ptCount val="1"/>
                <c:pt idx="0">
                  <c:v>Ampleforth Governance Token</c:v>
                </c:pt>
              </c:strCache>
            </c:strRef>
          </c:tx>
          <c:spPr>
            <a:solidFill>
              <a:schemeClr val="accent1">
                <a:lumMod val="80000"/>
                <a:lumOff val="20000"/>
              </a:schemeClr>
            </a:solidFill>
            <a:ln>
              <a:noFill/>
            </a:ln>
            <a:effectLst/>
          </c:spPr>
          <c:invertIfNegative val="0"/>
          <c:cat>
            <c:strRef>
              <c:f>'Cleaned Data'!$F$1</c:f>
              <c:strCache>
                <c:ptCount val="1"/>
                <c:pt idx="0">
                  <c:v> Volume (24) USD_cleaned </c:v>
                </c:pt>
              </c:strCache>
            </c:strRef>
          </c:cat>
          <c:val>
            <c:numRef>
              <c:f>'Cleaned Data'!$F$68</c:f>
            </c:numRef>
          </c:val>
          <c:extLst>
            <c:ext xmlns:c16="http://schemas.microsoft.com/office/drawing/2014/chart" uri="{C3380CC4-5D6E-409C-BE32-E72D297353CC}">
              <c16:uniqueId val="{00000042-1491-467E-B9F1-75460D4C920C}"/>
            </c:ext>
          </c:extLst>
        </c:ser>
        <c:ser>
          <c:idx val="67"/>
          <c:order val="67"/>
          <c:tx>
            <c:strRef>
              <c:f>'Cleaned Data'!$A$69</c:f>
              <c:strCache>
                <c:ptCount val="1"/>
                <c:pt idx="0">
                  <c:v>Metadium</c:v>
                </c:pt>
              </c:strCache>
            </c:strRef>
          </c:tx>
          <c:spPr>
            <a:solidFill>
              <a:schemeClr val="accent2">
                <a:lumMod val="80000"/>
                <a:lumOff val="20000"/>
              </a:schemeClr>
            </a:solidFill>
            <a:ln>
              <a:noFill/>
            </a:ln>
            <a:effectLst/>
          </c:spPr>
          <c:invertIfNegative val="0"/>
          <c:cat>
            <c:strRef>
              <c:f>'Cleaned Data'!$F$1</c:f>
              <c:strCache>
                <c:ptCount val="1"/>
                <c:pt idx="0">
                  <c:v> Volume (24) USD_cleaned </c:v>
                </c:pt>
              </c:strCache>
            </c:strRef>
          </c:cat>
          <c:val>
            <c:numRef>
              <c:f>'Cleaned Data'!$F$69</c:f>
            </c:numRef>
          </c:val>
          <c:extLst>
            <c:ext xmlns:c16="http://schemas.microsoft.com/office/drawing/2014/chart" uri="{C3380CC4-5D6E-409C-BE32-E72D297353CC}">
              <c16:uniqueId val="{00000043-1491-467E-B9F1-75460D4C920C}"/>
            </c:ext>
          </c:extLst>
        </c:ser>
        <c:ser>
          <c:idx val="68"/>
          <c:order val="68"/>
          <c:tx>
            <c:strRef>
              <c:f>'Cleaned Data'!$A$70</c:f>
              <c:strCache>
                <c:ptCount val="1"/>
                <c:pt idx="0">
                  <c:v>Shentu</c:v>
                </c:pt>
              </c:strCache>
            </c:strRef>
          </c:tx>
          <c:spPr>
            <a:solidFill>
              <a:schemeClr val="accent3">
                <a:lumMod val="80000"/>
                <a:lumOff val="20000"/>
              </a:schemeClr>
            </a:solidFill>
            <a:ln>
              <a:noFill/>
            </a:ln>
            <a:effectLst/>
          </c:spPr>
          <c:invertIfNegative val="0"/>
          <c:cat>
            <c:strRef>
              <c:f>'Cleaned Data'!$F$1</c:f>
              <c:strCache>
                <c:ptCount val="1"/>
                <c:pt idx="0">
                  <c:v> Volume (24) USD_cleaned </c:v>
                </c:pt>
              </c:strCache>
            </c:strRef>
          </c:cat>
          <c:val>
            <c:numRef>
              <c:f>'Cleaned Data'!$F$70</c:f>
            </c:numRef>
          </c:val>
          <c:extLst>
            <c:ext xmlns:c16="http://schemas.microsoft.com/office/drawing/2014/chart" uri="{C3380CC4-5D6E-409C-BE32-E72D297353CC}">
              <c16:uniqueId val="{00000044-1491-467E-B9F1-75460D4C920C}"/>
            </c:ext>
          </c:extLst>
        </c:ser>
        <c:ser>
          <c:idx val="69"/>
          <c:order val="69"/>
          <c:tx>
            <c:strRef>
              <c:f>'Cleaned Data'!$A$71</c:f>
              <c:strCache>
                <c:ptCount val="1"/>
                <c:pt idx="0">
                  <c:v>Nakamoto Games</c:v>
                </c:pt>
              </c:strCache>
            </c:strRef>
          </c:tx>
          <c:spPr>
            <a:solidFill>
              <a:schemeClr val="accent4">
                <a:lumMod val="80000"/>
                <a:lumOff val="20000"/>
              </a:schemeClr>
            </a:solidFill>
            <a:ln>
              <a:noFill/>
            </a:ln>
            <a:effectLst/>
          </c:spPr>
          <c:invertIfNegative val="0"/>
          <c:cat>
            <c:strRef>
              <c:f>'Cleaned Data'!$F$1</c:f>
              <c:strCache>
                <c:ptCount val="1"/>
                <c:pt idx="0">
                  <c:v> Volume (24) USD_cleaned </c:v>
                </c:pt>
              </c:strCache>
            </c:strRef>
          </c:cat>
          <c:val>
            <c:numRef>
              <c:f>'Cleaned Data'!$F$71</c:f>
            </c:numRef>
          </c:val>
          <c:extLst>
            <c:ext xmlns:c16="http://schemas.microsoft.com/office/drawing/2014/chart" uri="{C3380CC4-5D6E-409C-BE32-E72D297353CC}">
              <c16:uniqueId val="{00000045-1491-467E-B9F1-75460D4C920C}"/>
            </c:ext>
          </c:extLst>
        </c:ser>
        <c:ser>
          <c:idx val="70"/>
          <c:order val="70"/>
          <c:tx>
            <c:strRef>
              <c:f>'Cleaned Data'!$A$72</c:f>
              <c:strCache>
                <c:ptCount val="1"/>
                <c:pt idx="0">
                  <c:v>Groestlcoin</c:v>
                </c:pt>
              </c:strCache>
            </c:strRef>
          </c:tx>
          <c:spPr>
            <a:solidFill>
              <a:schemeClr val="accent5">
                <a:lumMod val="80000"/>
                <a:lumOff val="20000"/>
              </a:schemeClr>
            </a:solidFill>
            <a:ln>
              <a:noFill/>
            </a:ln>
            <a:effectLst/>
          </c:spPr>
          <c:invertIfNegative val="0"/>
          <c:cat>
            <c:strRef>
              <c:f>'Cleaned Data'!$F$1</c:f>
              <c:strCache>
                <c:ptCount val="1"/>
                <c:pt idx="0">
                  <c:v> Volume (24) USD_cleaned </c:v>
                </c:pt>
              </c:strCache>
            </c:strRef>
          </c:cat>
          <c:val>
            <c:numRef>
              <c:f>'Cleaned Data'!$F$72</c:f>
            </c:numRef>
          </c:val>
          <c:extLst>
            <c:ext xmlns:c16="http://schemas.microsoft.com/office/drawing/2014/chart" uri="{C3380CC4-5D6E-409C-BE32-E72D297353CC}">
              <c16:uniqueId val="{00000046-1491-467E-B9F1-75460D4C920C}"/>
            </c:ext>
          </c:extLst>
        </c:ser>
        <c:ser>
          <c:idx val="71"/>
          <c:order val="71"/>
          <c:tx>
            <c:strRef>
              <c:f>'Cleaned Data'!$A$73</c:f>
              <c:strCache>
                <c:ptCount val="1"/>
                <c:pt idx="0">
                  <c:v>Sui Name Service</c:v>
                </c:pt>
              </c:strCache>
            </c:strRef>
          </c:tx>
          <c:spPr>
            <a:solidFill>
              <a:schemeClr val="accent6">
                <a:lumMod val="80000"/>
                <a:lumOff val="20000"/>
              </a:schemeClr>
            </a:solidFill>
            <a:ln>
              <a:noFill/>
            </a:ln>
            <a:effectLst/>
          </c:spPr>
          <c:invertIfNegative val="0"/>
          <c:cat>
            <c:strRef>
              <c:f>'Cleaned Data'!$F$1</c:f>
              <c:strCache>
                <c:ptCount val="1"/>
                <c:pt idx="0">
                  <c:v> Volume (24) USD_cleaned </c:v>
                </c:pt>
              </c:strCache>
            </c:strRef>
          </c:cat>
          <c:val>
            <c:numRef>
              <c:f>'Cleaned Data'!$F$73</c:f>
            </c:numRef>
          </c:val>
          <c:extLst>
            <c:ext xmlns:c16="http://schemas.microsoft.com/office/drawing/2014/chart" uri="{C3380CC4-5D6E-409C-BE32-E72D297353CC}">
              <c16:uniqueId val="{00000047-1491-467E-B9F1-75460D4C920C}"/>
            </c:ext>
          </c:extLst>
        </c:ser>
        <c:ser>
          <c:idx val="72"/>
          <c:order val="72"/>
          <c:tx>
            <c:strRef>
              <c:f>'Cleaned Data'!$A$74</c:f>
              <c:strCache>
                <c:ptCount val="1"/>
                <c:pt idx="0">
                  <c:v>Haedal Protocol</c:v>
                </c:pt>
              </c:strCache>
            </c:strRef>
          </c:tx>
          <c:spPr>
            <a:solidFill>
              <a:schemeClr val="accent1">
                <a:lumMod val="80000"/>
              </a:schemeClr>
            </a:solidFill>
            <a:ln>
              <a:noFill/>
            </a:ln>
            <a:effectLst/>
          </c:spPr>
          <c:invertIfNegative val="0"/>
          <c:cat>
            <c:strRef>
              <c:f>'Cleaned Data'!$F$1</c:f>
              <c:strCache>
                <c:ptCount val="1"/>
                <c:pt idx="0">
                  <c:v> Volume (24) USD_cleaned </c:v>
                </c:pt>
              </c:strCache>
            </c:strRef>
          </c:cat>
          <c:val>
            <c:numRef>
              <c:f>'Cleaned Data'!$F$74</c:f>
            </c:numRef>
          </c:val>
          <c:extLst>
            <c:ext xmlns:c16="http://schemas.microsoft.com/office/drawing/2014/chart" uri="{C3380CC4-5D6E-409C-BE32-E72D297353CC}">
              <c16:uniqueId val="{00000048-1491-467E-B9F1-75460D4C920C}"/>
            </c:ext>
          </c:extLst>
        </c:ser>
        <c:ser>
          <c:idx val="73"/>
          <c:order val="73"/>
          <c:tx>
            <c:strRef>
              <c:f>'Cleaned Data'!$A$75</c:f>
              <c:strCache>
                <c:ptCount val="1"/>
                <c:pt idx="0">
                  <c:v>Fractal Bitcoin</c:v>
                </c:pt>
              </c:strCache>
            </c:strRef>
          </c:tx>
          <c:spPr>
            <a:solidFill>
              <a:schemeClr val="accent2">
                <a:lumMod val="80000"/>
              </a:schemeClr>
            </a:solidFill>
            <a:ln>
              <a:noFill/>
            </a:ln>
            <a:effectLst/>
          </c:spPr>
          <c:invertIfNegative val="0"/>
          <c:cat>
            <c:strRef>
              <c:f>'Cleaned Data'!$F$1</c:f>
              <c:strCache>
                <c:ptCount val="1"/>
                <c:pt idx="0">
                  <c:v> Volume (24) USD_cleaned </c:v>
                </c:pt>
              </c:strCache>
            </c:strRef>
          </c:cat>
          <c:val>
            <c:numRef>
              <c:f>'Cleaned Data'!$F$75</c:f>
            </c:numRef>
          </c:val>
          <c:extLst>
            <c:ext xmlns:c16="http://schemas.microsoft.com/office/drawing/2014/chart" uri="{C3380CC4-5D6E-409C-BE32-E72D297353CC}">
              <c16:uniqueId val="{00000049-1491-467E-B9F1-75460D4C920C}"/>
            </c:ext>
          </c:extLst>
        </c:ser>
        <c:ser>
          <c:idx val="74"/>
          <c:order val="74"/>
          <c:tx>
            <c:strRef>
              <c:f>'Cleaned Data'!$A$76</c:f>
              <c:strCache>
                <c:ptCount val="1"/>
                <c:pt idx="0">
                  <c:v>PlatON</c:v>
                </c:pt>
              </c:strCache>
            </c:strRef>
          </c:tx>
          <c:spPr>
            <a:solidFill>
              <a:schemeClr val="accent3">
                <a:lumMod val="80000"/>
              </a:schemeClr>
            </a:solidFill>
            <a:ln>
              <a:noFill/>
            </a:ln>
            <a:effectLst/>
          </c:spPr>
          <c:invertIfNegative val="0"/>
          <c:cat>
            <c:strRef>
              <c:f>'Cleaned Data'!$F$1</c:f>
              <c:strCache>
                <c:ptCount val="1"/>
                <c:pt idx="0">
                  <c:v> Volume (24) USD_cleaned </c:v>
                </c:pt>
              </c:strCache>
            </c:strRef>
          </c:cat>
          <c:val>
            <c:numRef>
              <c:f>'Cleaned Data'!$F$76</c:f>
            </c:numRef>
          </c:val>
          <c:extLst>
            <c:ext xmlns:c16="http://schemas.microsoft.com/office/drawing/2014/chart" uri="{C3380CC4-5D6E-409C-BE32-E72D297353CC}">
              <c16:uniqueId val="{0000004A-1491-467E-B9F1-75460D4C920C}"/>
            </c:ext>
          </c:extLst>
        </c:ser>
        <c:ser>
          <c:idx val="75"/>
          <c:order val="75"/>
          <c:tx>
            <c:strRef>
              <c:f>'Cleaned Data'!$A$77</c:f>
              <c:strCache>
                <c:ptCount val="1"/>
                <c:pt idx="0">
                  <c:v>NFPrompt</c:v>
                </c:pt>
              </c:strCache>
            </c:strRef>
          </c:tx>
          <c:spPr>
            <a:solidFill>
              <a:schemeClr val="accent4">
                <a:lumMod val="80000"/>
              </a:schemeClr>
            </a:solidFill>
            <a:ln>
              <a:noFill/>
            </a:ln>
            <a:effectLst/>
          </c:spPr>
          <c:invertIfNegative val="0"/>
          <c:cat>
            <c:strRef>
              <c:f>'Cleaned Data'!$F$1</c:f>
              <c:strCache>
                <c:ptCount val="1"/>
                <c:pt idx="0">
                  <c:v> Volume (24) USD_cleaned </c:v>
                </c:pt>
              </c:strCache>
            </c:strRef>
          </c:cat>
          <c:val>
            <c:numRef>
              <c:f>'Cleaned Data'!$F$77</c:f>
            </c:numRef>
          </c:val>
          <c:extLst>
            <c:ext xmlns:c16="http://schemas.microsoft.com/office/drawing/2014/chart" uri="{C3380CC4-5D6E-409C-BE32-E72D297353CC}">
              <c16:uniqueId val="{0000004B-1491-467E-B9F1-75460D4C920C}"/>
            </c:ext>
          </c:extLst>
        </c:ser>
        <c:ser>
          <c:idx val="76"/>
          <c:order val="76"/>
          <c:tx>
            <c:strRef>
              <c:f>'Cleaned Data'!$A$78</c:f>
              <c:strCache>
                <c:ptCount val="1"/>
                <c:pt idx="0">
                  <c:v>Orbiter Finance</c:v>
                </c:pt>
              </c:strCache>
            </c:strRef>
          </c:tx>
          <c:spPr>
            <a:solidFill>
              <a:schemeClr val="accent5">
                <a:lumMod val="80000"/>
              </a:schemeClr>
            </a:solidFill>
            <a:ln>
              <a:noFill/>
            </a:ln>
            <a:effectLst/>
          </c:spPr>
          <c:invertIfNegative val="0"/>
          <c:cat>
            <c:strRef>
              <c:f>'Cleaned Data'!$F$1</c:f>
              <c:strCache>
                <c:ptCount val="1"/>
                <c:pt idx="0">
                  <c:v> Volume (24) USD_cleaned </c:v>
                </c:pt>
              </c:strCache>
            </c:strRef>
          </c:cat>
          <c:val>
            <c:numRef>
              <c:f>'Cleaned Data'!$F$78</c:f>
              <c:numCache>
                <c:formatCode>_("$"* #,##0_);_("$"* \(#,##0\);_("$"* "-"??_);_(@_)</c:formatCode>
                <c:ptCount val="1"/>
                <c:pt idx="0">
                  <c:v>40860347</c:v>
                </c:pt>
              </c:numCache>
            </c:numRef>
          </c:val>
          <c:extLst>
            <c:ext xmlns:c16="http://schemas.microsoft.com/office/drawing/2014/chart" uri="{C3380CC4-5D6E-409C-BE32-E72D297353CC}">
              <c16:uniqueId val="{0000004C-1491-467E-B9F1-75460D4C920C}"/>
            </c:ext>
          </c:extLst>
        </c:ser>
        <c:ser>
          <c:idx val="77"/>
          <c:order val="77"/>
          <c:tx>
            <c:strRef>
              <c:f>'Cleaned Data'!$A$79</c:f>
              <c:strCache>
                <c:ptCount val="1"/>
                <c:pt idx="0">
                  <c:v>Covalent X Token</c:v>
                </c:pt>
              </c:strCache>
            </c:strRef>
          </c:tx>
          <c:spPr>
            <a:solidFill>
              <a:schemeClr val="accent6">
                <a:lumMod val="80000"/>
              </a:schemeClr>
            </a:solidFill>
            <a:ln>
              <a:noFill/>
            </a:ln>
            <a:effectLst/>
          </c:spPr>
          <c:invertIfNegative val="0"/>
          <c:cat>
            <c:strRef>
              <c:f>'Cleaned Data'!$F$1</c:f>
              <c:strCache>
                <c:ptCount val="1"/>
                <c:pt idx="0">
                  <c:v> Volume (24) USD_cleaned </c:v>
                </c:pt>
              </c:strCache>
            </c:strRef>
          </c:cat>
          <c:val>
            <c:numRef>
              <c:f>'Cleaned Data'!$F$79</c:f>
            </c:numRef>
          </c:val>
          <c:extLst>
            <c:ext xmlns:c16="http://schemas.microsoft.com/office/drawing/2014/chart" uri="{C3380CC4-5D6E-409C-BE32-E72D297353CC}">
              <c16:uniqueId val="{0000004D-1491-467E-B9F1-75460D4C920C}"/>
            </c:ext>
          </c:extLst>
        </c:ser>
        <c:ser>
          <c:idx val="78"/>
          <c:order val="78"/>
          <c:tx>
            <c:strRef>
              <c:f>'Cleaned Data'!$A$80</c:f>
              <c:strCache>
                <c:ptCount val="1"/>
                <c:pt idx="0">
                  <c:v>OMG Network</c:v>
                </c:pt>
              </c:strCache>
            </c:strRef>
          </c:tx>
          <c:spPr>
            <a:solidFill>
              <a:schemeClr val="accent1">
                <a:lumMod val="60000"/>
                <a:lumOff val="40000"/>
              </a:schemeClr>
            </a:solidFill>
            <a:ln>
              <a:noFill/>
            </a:ln>
            <a:effectLst/>
          </c:spPr>
          <c:invertIfNegative val="0"/>
          <c:cat>
            <c:strRef>
              <c:f>'Cleaned Data'!$F$1</c:f>
              <c:strCache>
                <c:ptCount val="1"/>
                <c:pt idx="0">
                  <c:v> Volume (24) USD_cleaned </c:v>
                </c:pt>
              </c:strCache>
            </c:strRef>
          </c:cat>
          <c:val>
            <c:numRef>
              <c:f>'Cleaned Data'!$F$80</c:f>
            </c:numRef>
          </c:val>
          <c:extLst>
            <c:ext xmlns:c16="http://schemas.microsoft.com/office/drawing/2014/chart" uri="{C3380CC4-5D6E-409C-BE32-E72D297353CC}">
              <c16:uniqueId val="{0000004E-1491-467E-B9F1-75460D4C920C}"/>
            </c:ext>
          </c:extLst>
        </c:ser>
        <c:ser>
          <c:idx val="79"/>
          <c:order val="79"/>
          <c:tx>
            <c:strRef>
              <c:f>'Cleaned Data'!$A$81</c:f>
              <c:strCache>
                <c:ptCount val="1"/>
                <c:pt idx="0">
                  <c:v>Radiant Capital</c:v>
                </c:pt>
              </c:strCache>
            </c:strRef>
          </c:tx>
          <c:spPr>
            <a:solidFill>
              <a:schemeClr val="accent2">
                <a:lumMod val="60000"/>
                <a:lumOff val="40000"/>
              </a:schemeClr>
            </a:solidFill>
            <a:ln>
              <a:noFill/>
            </a:ln>
            <a:effectLst/>
          </c:spPr>
          <c:invertIfNegative val="0"/>
          <c:cat>
            <c:strRef>
              <c:f>'Cleaned Data'!$F$1</c:f>
              <c:strCache>
                <c:ptCount val="1"/>
                <c:pt idx="0">
                  <c:v> Volume (24) USD_cleaned </c:v>
                </c:pt>
              </c:strCache>
            </c:strRef>
          </c:cat>
          <c:val>
            <c:numRef>
              <c:f>'Cleaned Data'!$F$81</c:f>
            </c:numRef>
          </c:val>
          <c:extLst>
            <c:ext xmlns:c16="http://schemas.microsoft.com/office/drawing/2014/chart" uri="{C3380CC4-5D6E-409C-BE32-E72D297353CC}">
              <c16:uniqueId val="{0000004F-1491-467E-B9F1-75460D4C920C}"/>
            </c:ext>
          </c:extLst>
        </c:ser>
        <c:ser>
          <c:idx val="80"/>
          <c:order val="80"/>
          <c:tx>
            <c:strRef>
              <c:f>'Cleaned Data'!$A$82</c:f>
              <c:strCache>
                <c:ptCount val="1"/>
                <c:pt idx="0">
                  <c:v>Klever Coin</c:v>
                </c:pt>
              </c:strCache>
            </c:strRef>
          </c:tx>
          <c:spPr>
            <a:solidFill>
              <a:schemeClr val="accent3">
                <a:lumMod val="60000"/>
                <a:lumOff val="40000"/>
              </a:schemeClr>
            </a:solidFill>
            <a:ln>
              <a:noFill/>
            </a:ln>
            <a:effectLst/>
          </c:spPr>
          <c:invertIfNegative val="0"/>
          <c:cat>
            <c:strRef>
              <c:f>'Cleaned Data'!$F$1</c:f>
              <c:strCache>
                <c:ptCount val="1"/>
                <c:pt idx="0">
                  <c:v> Volume (24) USD_cleaned </c:v>
                </c:pt>
              </c:strCache>
            </c:strRef>
          </c:cat>
          <c:val>
            <c:numRef>
              <c:f>'Cleaned Data'!$F$82</c:f>
            </c:numRef>
          </c:val>
          <c:extLst>
            <c:ext xmlns:c16="http://schemas.microsoft.com/office/drawing/2014/chart" uri="{C3380CC4-5D6E-409C-BE32-E72D297353CC}">
              <c16:uniqueId val="{00000050-1491-467E-B9F1-75460D4C920C}"/>
            </c:ext>
          </c:extLst>
        </c:ser>
        <c:ser>
          <c:idx val="81"/>
          <c:order val="81"/>
          <c:tx>
            <c:strRef>
              <c:f>'Cleaned Data'!$A$83</c:f>
              <c:strCache>
                <c:ptCount val="1"/>
                <c:pt idx="0">
                  <c:v>Pups (Bitcoin)</c:v>
                </c:pt>
              </c:strCache>
            </c:strRef>
          </c:tx>
          <c:spPr>
            <a:solidFill>
              <a:schemeClr val="accent4">
                <a:lumMod val="60000"/>
                <a:lumOff val="40000"/>
              </a:schemeClr>
            </a:solidFill>
            <a:ln>
              <a:noFill/>
            </a:ln>
            <a:effectLst/>
          </c:spPr>
          <c:invertIfNegative val="0"/>
          <c:cat>
            <c:strRef>
              <c:f>'Cleaned Data'!$F$1</c:f>
              <c:strCache>
                <c:ptCount val="1"/>
                <c:pt idx="0">
                  <c:v> Volume (24) USD_cleaned </c:v>
                </c:pt>
              </c:strCache>
            </c:strRef>
          </c:cat>
          <c:val>
            <c:numRef>
              <c:f>'Cleaned Data'!$F$83</c:f>
            </c:numRef>
          </c:val>
          <c:extLst>
            <c:ext xmlns:c16="http://schemas.microsoft.com/office/drawing/2014/chart" uri="{C3380CC4-5D6E-409C-BE32-E72D297353CC}">
              <c16:uniqueId val="{00000051-1491-467E-B9F1-75460D4C920C}"/>
            </c:ext>
          </c:extLst>
        </c:ser>
        <c:ser>
          <c:idx val="82"/>
          <c:order val="82"/>
          <c:tx>
            <c:strRef>
              <c:f>'Cleaned Data'!$A$84</c:f>
              <c:strCache>
                <c:ptCount val="1"/>
                <c:pt idx="0">
                  <c:v>NATIX Network</c:v>
                </c:pt>
              </c:strCache>
            </c:strRef>
          </c:tx>
          <c:spPr>
            <a:solidFill>
              <a:schemeClr val="accent5">
                <a:lumMod val="60000"/>
                <a:lumOff val="40000"/>
              </a:schemeClr>
            </a:solidFill>
            <a:ln>
              <a:noFill/>
            </a:ln>
            <a:effectLst/>
          </c:spPr>
          <c:invertIfNegative val="0"/>
          <c:cat>
            <c:strRef>
              <c:f>'Cleaned Data'!$F$1</c:f>
              <c:strCache>
                <c:ptCount val="1"/>
                <c:pt idx="0">
                  <c:v> Volume (24) USD_cleaned </c:v>
                </c:pt>
              </c:strCache>
            </c:strRef>
          </c:cat>
          <c:val>
            <c:numRef>
              <c:f>'Cleaned Data'!$F$84</c:f>
            </c:numRef>
          </c:val>
          <c:extLst>
            <c:ext xmlns:c16="http://schemas.microsoft.com/office/drawing/2014/chart" uri="{C3380CC4-5D6E-409C-BE32-E72D297353CC}">
              <c16:uniqueId val="{00000052-1491-467E-B9F1-75460D4C920C}"/>
            </c:ext>
          </c:extLst>
        </c:ser>
        <c:ser>
          <c:idx val="83"/>
          <c:order val="83"/>
          <c:tx>
            <c:strRef>
              <c:f>'Cleaned Data'!$A$85</c:f>
              <c:strCache>
                <c:ptCount val="1"/>
                <c:pt idx="0">
                  <c:v>ORIGYN</c:v>
                </c:pt>
              </c:strCache>
            </c:strRef>
          </c:tx>
          <c:spPr>
            <a:solidFill>
              <a:schemeClr val="accent6">
                <a:lumMod val="60000"/>
                <a:lumOff val="40000"/>
              </a:schemeClr>
            </a:solidFill>
            <a:ln>
              <a:noFill/>
            </a:ln>
            <a:effectLst/>
          </c:spPr>
          <c:invertIfNegative val="0"/>
          <c:cat>
            <c:strRef>
              <c:f>'Cleaned Data'!$F$1</c:f>
              <c:strCache>
                <c:ptCount val="1"/>
                <c:pt idx="0">
                  <c:v> Volume (24) USD_cleaned </c:v>
                </c:pt>
              </c:strCache>
            </c:strRef>
          </c:cat>
          <c:val>
            <c:numRef>
              <c:f>'Cleaned Data'!$F$85</c:f>
            </c:numRef>
          </c:val>
          <c:extLst>
            <c:ext xmlns:c16="http://schemas.microsoft.com/office/drawing/2014/chart" uri="{C3380CC4-5D6E-409C-BE32-E72D297353CC}">
              <c16:uniqueId val="{00000053-1491-467E-B9F1-75460D4C920C}"/>
            </c:ext>
          </c:extLst>
        </c:ser>
        <c:ser>
          <c:idx val="84"/>
          <c:order val="84"/>
          <c:tx>
            <c:strRef>
              <c:f>'Cleaned Data'!$A$86</c:f>
              <c:strCache>
                <c:ptCount val="1"/>
                <c:pt idx="0">
                  <c:v>Daddy Tate</c:v>
                </c:pt>
              </c:strCache>
            </c:strRef>
          </c:tx>
          <c:spPr>
            <a:solidFill>
              <a:schemeClr val="accent1">
                <a:lumMod val="50000"/>
              </a:schemeClr>
            </a:solidFill>
            <a:ln>
              <a:noFill/>
            </a:ln>
            <a:effectLst/>
          </c:spPr>
          <c:invertIfNegative val="0"/>
          <c:cat>
            <c:strRef>
              <c:f>'Cleaned Data'!$F$1</c:f>
              <c:strCache>
                <c:ptCount val="1"/>
                <c:pt idx="0">
                  <c:v> Volume (24) USD_cleaned </c:v>
                </c:pt>
              </c:strCache>
            </c:strRef>
          </c:cat>
          <c:val>
            <c:numRef>
              <c:f>'Cleaned Data'!$F$86</c:f>
            </c:numRef>
          </c:val>
          <c:extLst>
            <c:ext xmlns:c16="http://schemas.microsoft.com/office/drawing/2014/chart" uri="{C3380CC4-5D6E-409C-BE32-E72D297353CC}">
              <c16:uniqueId val="{00000054-1491-467E-B9F1-75460D4C920C}"/>
            </c:ext>
          </c:extLst>
        </c:ser>
        <c:ser>
          <c:idx val="85"/>
          <c:order val="85"/>
          <c:tx>
            <c:strRef>
              <c:f>'Cleaned Data'!$A$87</c:f>
              <c:strCache>
                <c:ptCount val="1"/>
                <c:pt idx="0">
                  <c:v>Impossible Finance Launchpad</c:v>
                </c:pt>
              </c:strCache>
            </c:strRef>
          </c:tx>
          <c:spPr>
            <a:solidFill>
              <a:schemeClr val="accent2">
                <a:lumMod val="50000"/>
              </a:schemeClr>
            </a:solidFill>
            <a:ln>
              <a:noFill/>
            </a:ln>
            <a:effectLst/>
          </c:spPr>
          <c:invertIfNegative val="0"/>
          <c:cat>
            <c:strRef>
              <c:f>'Cleaned Data'!$F$1</c:f>
              <c:strCache>
                <c:ptCount val="1"/>
                <c:pt idx="0">
                  <c:v> Volume (24) USD_cleaned </c:v>
                </c:pt>
              </c:strCache>
            </c:strRef>
          </c:cat>
          <c:val>
            <c:numRef>
              <c:f>'Cleaned Data'!$F$87</c:f>
            </c:numRef>
          </c:val>
          <c:extLst>
            <c:ext xmlns:c16="http://schemas.microsoft.com/office/drawing/2014/chart" uri="{C3380CC4-5D6E-409C-BE32-E72D297353CC}">
              <c16:uniqueId val="{00000055-1491-467E-B9F1-75460D4C920C}"/>
            </c:ext>
          </c:extLst>
        </c:ser>
        <c:ser>
          <c:idx val="86"/>
          <c:order val="86"/>
          <c:tx>
            <c:strRef>
              <c:f>'Cleaned Data'!$A$88</c:f>
              <c:strCache>
                <c:ptCount val="1"/>
                <c:pt idx="0">
                  <c:v>League of Kingdoms Arena</c:v>
                </c:pt>
              </c:strCache>
            </c:strRef>
          </c:tx>
          <c:spPr>
            <a:solidFill>
              <a:schemeClr val="accent3">
                <a:lumMod val="50000"/>
              </a:schemeClr>
            </a:solidFill>
            <a:ln>
              <a:noFill/>
            </a:ln>
            <a:effectLst/>
          </c:spPr>
          <c:invertIfNegative val="0"/>
          <c:cat>
            <c:strRef>
              <c:f>'Cleaned Data'!$F$1</c:f>
              <c:strCache>
                <c:ptCount val="1"/>
                <c:pt idx="0">
                  <c:v> Volume (24) USD_cleaned </c:v>
                </c:pt>
              </c:strCache>
            </c:strRef>
          </c:cat>
          <c:val>
            <c:numRef>
              <c:f>'Cleaned Data'!$F$88</c:f>
            </c:numRef>
          </c:val>
          <c:extLst>
            <c:ext xmlns:c16="http://schemas.microsoft.com/office/drawing/2014/chart" uri="{C3380CC4-5D6E-409C-BE32-E72D297353CC}">
              <c16:uniqueId val="{00000056-1491-467E-B9F1-75460D4C920C}"/>
            </c:ext>
          </c:extLst>
        </c:ser>
        <c:ser>
          <c:idx val="87"/>
          <c:order val="87"/>
          <c:tx>
            <c:strRef>
              <c:f>'Cleaned Data'!$A$89</c:f>
              <c:strCache>
                <c:ptCount val="1"/>
                <c:pt idx="0">
                  <c:v>Mango</c:v>
                </c:pt>
              </c:strCache>
            </c:strRef>
          </c:tx>
          <c:spPr>
            <a:solidFill>
              <a:schemeClr val="accent4">
                <a:lumMod val="50000"/>
              </a:schemeClr>
            </a:solidFill>
            <a:ln>
              <a:noFill/>
            </a:ln>
            <a:effectLst/>
          </c:spPr>
          <c:invertIfNegative val="0"/>
          <c:cat>
            <c:strRef>
              <c:f>'Cleaned Data'!$F$1</c:f>
              <c:strCache>
                <c:ptCount val="1"/>
                <c:pt idx="0">
                  <c:v> Volume (24) USD_cleaned </c:v>
                </c:pt>
              </c:strCache>
            </c:strRef>
          </c:cat>
          <c:val>
            <c:numRef>
              <c:f>'Cleaned Data'!$F$89</c:f>
            </c:numRef>
          </c:val>
          <c:extLst>
            <c:ext xmlns:c16="http://schemas.microsoft.com/office/drawing/2014/chart" uri="{C3380CC4-5D6E-409C-BE32-E72D297353CC}">
              <c16:uniqueId val="{00000057-1491-467E-B9F1-75460D4C920C}"/>
            </c:ext>
          </c:extLst>
        </c:ser>
        <c:ser>
          <c:idx val="88"/>
          <c:order val="88"/>
          <c:tx>
            <c:strRef>
              <c:f>'Cleaned Data'!$A$90</c:f>
              <c:strCache>
                <c:ptCount val="1"/>
                <c:pt idx="0">
                  <c:v>DAR Open Network</c:v>
                </c:pt>
              </c:strCache>
            </c:strRef>
          </c:tx>
          <c:spPr>
            <a:solidFill>
              <a:schemeClr val="accent5">
                <a:lumMod val="50000"/>
              </a:schemeClr>
            </a:solidFill>
            <a:ln>
              <a:noFill/>
            </a:ln>
            <a:effectLst/>
          </c:spPr>
          <c:invertIfNegative val="0"/>
          <c:cat>
            <c:strRef>
              <c:f>'Cleaned Data'!$F$1</c:f>
              <c:strCache>
                <c:ptCount val="1"/>
                <c:pt idx="0">
                  <c:v> Volume (24) USD_cleaned </c:v>
                </c:pt>
              </c:strCache>
            </c:strRef>
          </c:cat>
          <c:val>
            <c:numRef>
              <c:f>'Cleaned Data'!$F$90</c:f>
            </c:numRef>
          </c:val>
          <c:extLst>
            <c:ext xmlns:c16="http://schemas.microsoft.com/office/drawing/2014/chart" uri="{C3380CC4-5D6E-409C-BE32-E72D297353CC}">
              <c16:uniqueId val="{00000058-1491-467E-B9F1-75460D4C920C}"/>
            </c:ext>
          </c:extLst>
        </c:ser>
        <c:ser>
          <c:idx val="89"/>
          <c:order val="89"/>
          <c:tx>
            <c:strRef>
              <c:f>'Cleaned Data'!$A$91</c:f>
              <c:strCache>
                <c:ptCount val="1"/>
                <c:pt idx="0">
                  <c:v>Alaya Governance Token</c:v>
                </c:pt>
              </c:strCache>
            </c:strRef>
          </c:tx>
          <c:spPr>
            <a:solidFill>
              <a:schemeClr val="accent6">
                <a:lumMod val="50000"/>
              </a:schemeClr>
            </a:solidFill>
            <a:ln>
              <a:noFill/>
            </a:ln>
            <a:effectLst/>
          </c:spPr>
          <c:invertIfNegative val="0"/>
          <c:cat>
            <c:strRef>
              <c:f>'Cleaned Data'!$F$1</c:f>
              <c:strCache>
                <c:ptCount val="1"/>
                <c:pt idx="0">
                  <c:v> Volume (24) USD_cleaned </c:v>
                </c:pt>
              </c:strCache>
            </c:strRef>
          </c:cat>
          <c:val>
            <c:numRef>
              <c:f>'Cleaned Data'!$F$91</c:f>
            </c:numRef>
          </c:val>
          <c:extLst>
            <c:ext xmlns:c16="http://schemas.microsoft.com/office/drawing/2014/chart" uri="{C3380CC4-5D6E-409C-BE32-E72D297353CC}">
              <c16:uniqueId val="{00000059-1491-467E-B9F1-75460D4C920C}"/>
            </c:ext>
          </c:extLst>
        </c:ser>
        <c:ser>
          <c:idx val="90"/>
          <c:order val="90"/>
          <c:tx>
            <c:strRef>
              <c:f>'Cleaned Data'!$A$92</c:f>
              <c:strCache>
                <c:ptCount val="1"/>
                <c:pt idx="0">
                  <c:v>Port3 Network</c:v>
                </c:pt>
              </c:strCache>
            </c:strRef>
          </c:tx>
          <c:spPr>
            <a:solidFill>
              <a:schemeClr val="accent1">
                <a:lumMod val="70000"/>
                <a:lumOff val="30000"/>
              </a:schemeClr>
            </a:solidFill>
            <a:ln>
              <a:noFill/>
            </a:ln>
            <a:effectLst/>
          </c:spPr>
          <c:invertIfNegative val="0"/>
          <c:cat>
            <c:strRef>
              <c:f>'Cleaned Data'!$F$1</c:f>
              <c:strCache>
                <c:ptCount val="1"/>
                <c:pt idx="0">
                  <c:v> Volume (24) USD_cleaned </c:v>
                </c:pt>
              </c:strCache>
            </c:strRef>
          </c:cat>
          <c:val>
            <c:numRef>
              <c:f>'Cleaned Data'!$F$92</c:f>
            </c:numRef>
          </c:val>
          <c:extLst>
            <c:ext xmlns:c16="http://schemas.microsoft.com/office/drawing/2014/chart" uri="{C3380CC4-5D6E-409C-BE32-E72D297353CC}">
              <c16:uniqueId val="{0000005A-1491-467E-B9F1-75460D4C920C}"/>
            </c:ext>
          </c:extLst>
        </c:ser>
        <c:ser>
          <c:idx val="91"/>
          <c:order val="91"/>
          <c:tx>
            <c:strRef>
              <c:f>'Cleaned Data'!$A$93</c:f>
              <c:strCache>
                <c:ptCount val="1"/>
                <c:pt idx="0">
                  <c:v>SIX Token</c:v>
                </c:pt>
              </c:strCache>
            </c:strRef>
          </c:tx>
          <c:spPr>
            <a:solidFill>
              <a:schemeClr val="accent2">
                <a:lumMod val="70000"/>
                <a:lumOff val="30000"/>
              </a:schemeClr>
            </a:solidFill>
            <a:ln>
              <a:noFill/>
            </a:ln>
            <a:effectLst/>
          </c:spPr>
          <c:invertIfNegative val="0"/>
          <c:cat>
            <c:strRef>
              <c:f>'Cleaned Data'!$F$1</c:f>
              <c:strCache>
                <c:ptCount val="1"/>
                <c:pt idx="0">
                  <c:v> Volume (24) USD_cleaned </c:v>
                </c:pt>
              </c:strCache>
            </c:strRef>
          </c:cat>
          <c:val>
            <c:numRef>
              <c:f>'Cleaned Data'!$F$93</c:f>
            </c:numRef>
          </c:val>
          <c:extLst>
            <c:ext xmlns:c16="http://schemas.microsoft.com/office/drawing/2014/chart" uri="{C3380CC4-5D6E-409C-BE32-E72D297353CC}">
              <c16:uniqueId val="{0000005B-1491-467E-B9F1-75460D4C920C}"/>
            </c:ext>
          </c:extLst>
        </c:ser>
        <c:ser>
          <c:idx val="92"/>
          <c:order val="92"/>
          <c:tx>
            <c:strRef>
              <c:f>'Cleaned Data'!$A$94</c:f>
              <c:strCache>
                <c:ptCount val="1"/>
                <c:pt idx="0">
                  <c:v>Cult DAO</c:v>
                </c:pt>
              </c:strCache>
            </c:strRef>
          </c:tx>
          <c:spPr>
            <a:solidFill>
              <a:schemeClr val="accent3">
                <a:lumMod val="70000"/>
                <a:lumOff val="30000"/>
              </a:schemeClr>
            </a:solidFill>
            <a:ln>
              <a:noFill/>
            </a:ln>
            <a:effectLst/>
          </c:spPr>
          <c:invertIfNegative val="0"/>
          <c:cat>
            <c:strRef>
              <c:f>'Cleaned Data'!$F$1</c:f>
              <c:strCache>
                <c:ptCount val="1"/>
                <c:pt idx="0">
                  <c:v> Volume (24) USD_cleaned </c:v>
                </c:pt>
              </c:strCache>
            </c:strRef>
          </c:cat>
          <c:val>
            <c:numRef>
              <c:f>'Cleaned Data'!$F$94</c:f>
            </c:numRef>
          </c:val>
          <c:extLst>
            <c:ext xmlns:c16="http://schemas.microsoft.com/office/drawing/2014/chart" uri="{C3380CC4-5D6E-409C-BE32-E72D297353CC}">
              <c16:uniqueId val="{0000005C-1491-467E-B9F1-75460D4C920C}"/>
            </c:ext>
          </c:extLst>
        </c:ser>
        <c:ser>
          <c:idx val="93"/>
          <c:order val="93"/>
          <c:tx>
            <c:strRef>
              <c:f>'Cleaned Data'!$A$95</c:f>
              <c:strCache>
                <c:ptCount val="1"/>
                <c:pt idx="0">
                  <c:v>crow with knife</c:v>
                </c:pt>
              </c:strCache>
            </c:strRef>
          </c:tx>
          <c:spPr>
            <a:solidFill>
              <a:schemeClr val="accent4">
                <a:lumMod val="70000"/>
                <a:lumOff val="30000"/>
              </a:schemeClr>
            </a:solidFill>
            <a:ln>
              <a:noFill/>
            </a:ln>
            <a:effectLst/>
          </c:spPr>
          <c:invertIfNegative val="0"/>
          <c:cat>
            <c:strRef>
              <c:f>'Cleaned Data'!$F$1</c:f>
              <c:strCache>
                <c:ptCount val="1"/>
                <c:pt idx="0">
                  <c:v> Volume (24) USD_cleaned </c:v>
                </c:pt>
              </c:strCache>
            </c:strRef>
          </c:cat>
          <c:val>
            <c:numRef>
              <c:f>'Cleaned Data'!$F$95</c:f>
            </c:numRef>
          </c:val>
          <c:extLst>
            <c:ext xmlns:c16="http://schemas.microsoft.com/office/drawing/2014/chart" uri="{C3380CC4-5D6E-409C-BE32-E72D297353CC}">
              <c16:uniqueId val="{0000005D-1491-467E-B9F1-75460D4C920C}"/>
            </c:ext>
          </c:extLst>
        </c:ser>
        <c:ser>
          <c:idx val="94"/>
          <c:order val="94"/>
          <c:tx>
            <c:strRef>
              <c:f>'Cleaned Data'!$A$96</c:f>
              <c:strCache>
                <c:ptCount val="1"/>
                <c:pt idx="0">
                  <c:v>Cortex</c:v>
                </c:pt>
              </c:strCache>
            </c:strRef>
          </c:tx>
          <c:spPr>
            <a:solidFill>
              <a:schemeClr val="accent5">
                <a:lumMod val="70000"/>
                <a:lumOff val="30000"/>
              </a:schemeClr>
            </a:solidFill>
            <a:ln>
              <a:noFill/>
            </a:ln>
            <a:effectLst/>
          </c:spPr>
          <c:invertIfNegative val="0"/>
          <c:cat>
            <c:strRef>
              <c:f>'Cleaned Data'!$F$1</c:f>
              <c:strCache>
                <c:ptCount val="1"/>
                <c:pt idx="0">
                  <c:v> Volume (24) USD_cleaned </c:v>
                </c:pt>
              </c:strCache>
            </c:strRef>
          </c:cat>
          <c:val>
            <c:numRef>
              <c:f>'Cleaned Data'!$F$96</c:f>
            </c:numRef>
          </c:val>
          <c:extLst>
            <c:ext xmlns:c16="http://schemas.microsoft.com/office/drawing/2014/chart" uri="{C3380CC4-5D6E-409C-BE32-E72D297353CC}">
              <c16:uniqueId val="{0000005E-1491-467E-B9F1-75460D4C920C}"/>
            </c:ext>
          </c:extLst>
        </c:ser>
        <c:ser>
          <c:idx val="95"/>
          <c:order val="95"/>
          <c:tx>
            <c:strRef>
              <c:f>'Cleaned Data'!$A$97</c:f>
              <c:strCache>
                <c:ptCount val="1"/>
                <c:pt idx="0">
                  <c:v>Paris Saint-Germain Fan Token</c:v>
                </c:pt>
              </c:strCache>
            </c:strRef>
          </c:tx>
          <c:spPr>
            <a:solidFill>
              <a:schemeClr val="accent6">
                <a:lumMod val="70000"/>
                <a:lumOff val="30000"/>
              </a:schemeClr>
            </a:solidFill>
            <a:ln>
              <a:noFill/>
            </a:ln>
            <a:effectLst/>
          </c:spPr>
          <c:invertIfNegative val="0"/>
          <c:cat>
            <c:strRef>
              <c:f>'Cleaned Data'!$F$1</c:f>
              <c:strCache>
                <c:ptCount val="1"/>
                <c:pt idx="0">
                  <c:v> Volume (24) USD_cleaned </c:v>
                </c:pt>
              </c:strCache>
            </c:strRef>
          </c:cat>
          <c:val>
            <c:numRef>
              <c:f>'Cleaned Data'!$F$97</c:f>
            </c:numRef>
          </c:val>
          <c:extLst>
            <c:ext xmlns:c16="http://schemas.microsoft.com/office/drawing/2014/chart" uri="{C3380CC4-5D6E-409C-BE32-E72D297353CC}">
              <c16:uniqueId val="{0000005F-1491-467E-B9F1-75460D4C920C}"/>
            </c:ext>
          </c:extLst>
        </c:ser>
        <c:ser>
          <c:idx val="96"/>
          <c:order val="96"/>
          <c:tx>
            <c:strRef>
              <c:f>'Cleaned Data'!$A$98</c:f>
              <c:strCache>
                <c:ptCount val="1"/>
                <c:pt idx="0">
                  <c:v>Comtech Gold</c:v>
                </c:pt>
              </c:strCache>
            </c:strRef>
          </c:tx>
          <c:spPr>
            <a:solidFill>
              <a:schemeClr val="accent1">
                <a:lumMod val="70000"/>
              </a:schemeClr>
            </a:solidFill>
            <a:ln>
              <a:noFill/>
            </a:ln>
            <a:effectLst/>
          </c:spPr>
          <c:invertIfNegative val="0"/>
          <c:cat>
            <c:strRef>
              <c:f>'Cleaned Data'!$F$1</c:f>
              <c:strCache>
                <c:ptCount val="1"/>
                <c:pt idx="0">
                  <c:v> Volume (24) USD_cleaned </c:v>
                </c:pt>
              </c:strCache>
            </c:strRef>
          </c:cat>
          <c:val>
            <c:numRef>
              <c:f>'Cleaned Data'!$F$98</c:f>
            </c:numRef>
          </c:val>
          <c:extLst>
            <c:ext xmlns:c16="http://schemas.microsoft.com/office/drawing/2014/chart" uri="{C3380CC4-5D6E-409C-BE32-E72D297353CC}">
              <c16:uniqueId val="{00000060-1491-467E-B9F1-75460D4C920C}"/>
            </c:ext>
          </c:extLst>
        </c:ser>
        <c:ser>
          <c:idx val="97"/>
          <c:order val="97"/>
          <c:tx>
            <c:strRef>
              <c:f>'Cleaned Data'!$A$99</c:f>
              <c:strCache>
                <c:ptCount val="1"/>
                <c:pt idx="0">
                  <c:v>Definitive</c:v>
                </c:pt>
              </c:strCache>
            </c:strRef>
          </c:tx>
          <c:spPr>
            <a:solidFill>
              <a:schemeClr val="accent2">
                <a:lumMod val="70000"/>
              </a:schemeClr>
            </a:solidFill>
            <a:ln>
              <a:noFill/>
            </a:ln>
            <a:effectLst/>
          </c:spPr>
          <c:invertIfNegative val="0"/>
          <c:cat>
            <c:strRef>
              <c:f>'Cleaned Data'!$F$1</c:f>
              <c:strCache>
                <c:ptCount val="1"/>
                <c:pt idx="0">
                  <c:v> Volume (24) USD_cleaned </c:v>
                </c:pt>
              </c:strCache>
            </c:strRef>
          </c:cat>
          <c:val>
            <c:numRef>
              <c:f>'Cleaned Data'!$F$99</c:f>
            </c:numRef>
          </c:val>
          <c:extLst>
            <c:ext xmlns:c16="http://schemas.microsoft.com/office/drawing/2014/chart" uri="{C3380CC4-5D6E-409C-BE32-E72D297353CC}">
              <c16:uniqueId val="{00000061-1491-467E-B9F1-75460D4C920C}"/>
            </c:ext>
          </c:extLst>
        </c:ser>
        <c:ser>
          <c:idx val="98"/>
          <c:order val="98"/>
          <c:tx>
            <c:strRef>
              <c:f>'Cleaned Data'!$A$100</c:f>
              <c:strCache>
                <c:ptCount val="1"/>
                <c:pt idx="0">
                  <c:v>Contentos</c:v>
                </c:pt>
              </c:strCache>
            </c:strRef>
          </c:tx>
          <c:spPr>
            <a:solidFill>
              <a:schemeClr val="accent3">
                <a:lumMod val="70000"/>
              </a:schemeClr>
            </a:solidFill>
            <a:ln>
              <a:noFill/>
            </a:ln>
            <a:effectLst/>
          </c:spPr>
          <c:invertIfNegative val="0"/>
          <c:cat>
            <c:strRef>
              <c:f>'Cleaned Data'!$F$1</c:f>
              <c:strCache>
                <c:ptCount val="1"/>
                <c:pt idx="0">
                  <c:v> Volume (24) USD_cleaned </c:v>
                </c:pt>
              </c:strCache>
            </c:strRef>
          </c:cat>
          <c:val>
            <c:numRef>
              <c:f>'Cleaned Data'!$F$100</c:f>
            </c:numRef>
          </c:val>
          <c:extLst>
            <c:ext xmlns:c16="http://schemas.microsoft.com/office/drawing/2014/chart" uri="{C3380CC4-5D6E-409C-BE32-E72D297353CC}">
              <c16:uniqueId val="{00000062-1491-467E-B9F1-75460D4C920C}"/>
            </c:ext>
          </c:extLst>
        </c:ser>
        <c:ser>
          <c:idx val="99"/>
          <c:order val="99"/>
          <c:tx>
            <c:strRef>
              <c:f>'Cleaned Data'!$A$101</c:f>
              <c:strCache>
                <c:ptCount val="1"/>
                <c:pt idx="0">
                  <c:v>Step Finance</c:v>
                </c:pt>
              </c:strCache>
            </c:strRef>
          </c:tx>
          <c:spPr>
            <a:solidFill>
              <a:schemeClr val="accent4">
                <a:lumMod val="70000"/>
              </a:schemeClr>
            </a:solidFill>
            <a:ln>
              <a:noFill/>
            </a:ln>
            <a:effectLst/>
          </c:spPr>
          <c:invertIfNegative val="0"/>
          <c:cat>
            <c:strRef>
              <c:f>'Cleaned Data'!$F$1</c:f>
              <c:strCache>
                <c:ptCount val="1"/>
                <c:pt idx="0">
                  <c:v> Volume (24) USD_cleaned </c:v>
                </c:pt>
              </c:strCache>
            </c:strRef>
          </c:cat>
          <c:val>
            <c:numRef>
              <c:f>'Cleaned Data'!$F$101</c:f>
            </c:numRef>
          </c:val>
          <c:extLst>
            <c:ext xmlns:c16="http://schemas.microsoft.com/office/drawing/2014/chart" uri="{C3380CC4-5D6E-409C-BE32-E72D297353CC}">
              <c16:uniqueId val="{00000063-1491-467E-B9F1-75460D4C920C}"/>
            </c:ext>
          </c:extLst>
        </c:ser>
        <c:ser>
          <c:idx val="100"/>
          <c:order val="100"/>
          <c:tx>
            <c:strRef>
              <c:f>'Cleaned Data'!$A$102</c:f>
              <c:strCache>
                <c:ptCount val="1"/>
                <c:pt idx="0">
                  <c:v>OctaSpace</c:v>
                </c:pt>
              </c:strCache>
            </c:strRef>
          </c:tx>
          <c:spPr>
            <a:solidFill>
              <a:schemeClr val="accent5">
                <a:lumMod val="70000"/>
              </a:schemeClr>
            </a:solidFill>
            <a:ln>
              <a:noFill/>
            </a:ln>
            <a:effectLst/>
          </c:spPr>
          <c:invertIfNegative val="0"/>
          <c:cat>
            <c:strRef>
              <c:f>'Cleaned Data'!$F$1</c:f>
              <c:strCache>
                <c:ptCount val="1"/>
                <c:pt idx="0">
                  <c:v> Volume (24) USD_cleaned </c:v>
                </c:pt>
              </c:strCache>
            </c:strRef>
          </c:cat>
          <c:val>
            <c:numRef>
              <c:f>'Cleaned Data'!$F$102</c:f>
            </c:numRef>
          </c:val>
          <c:extLst>
            <c:ext xmlns:c16="http://schemas.microsoft.com/office/drawing/2014/chart" uri="{C3380CC4-5D6E-409C-BE32-E72D297353CC}">
              <c16:uniqueId val="{00000064-1491-467E-B9F1-75460D4C920C}"/>
            </c:ext>
          </c:extLst>
        </c:ser>
        <c:ser>
          <c:idx val="101"/>
          <c:order val="101"/>
          <c:tx>
            <c:strRef>
              <c:f>'Cleaned Data'!$A$103</c:f>
              <c:strCache>
                <c:ptCount val="1"/>
                <c:pt idx="0">
                  <c:v>Aura Finance</c:v>
                </c:pt>
              </c:strCache>
            </c:strRef>
          </c:tx>
          <c:spPr>
            <a:solidFill>
              <a:schemeClr val="accent6">
                <a:lumMod val="70000"/>
              </a:schemeClr>
            </a:solidFill>
            <a:ln>
              <a:noFill/>
            </a:ln>
            <a:effectLst/>
          </c:spPr>
          <c:invertIfNegative val="0"/>
          <c:cat>
            <c:strRef>
              <c:f>'Cleaned Data'!$F$1</c:f>
              <c:strCache>
                <c:ptCount val="1"/>
                <c:pt idx="0">
                  <c:v> Volume (24) USD_cleaned </c:v>
                </c:pt>
              </c:strCache>
            </c:strRef>
          </c:cat>
          <c:val>
            <c:numRef>
              <c:f>'Cleaned Data'!$F$103</c:f>
            </c:numRef>
          </c:val>
          <c:extLst>
            <c:ext xmlns:c16="http://schemas.microsoft.com/office/drawing/2014/chart" uri="{C3380CC4-5D6E-409C-BE32-E72D297353CC}">
              <c16:uniqueId val="{00000065-1491-467E-B9F1-75460D4C920C}"/>
            </c:ext>
          </c:extLst>
        </c:ser>
        <c:ser>
          <c:idx val="102"/>
          <c:order val="102"/>
          <c:tx>
            <c:strRef>
              <c:f>'Cleaned Data'!$A$104</c:f>
              <c:strCache>
                <c:ptCount val="1"/>
                <c:pt idx="0">
                  <c:v>PIBBLE</c:v>
                </c:pt>
              </c:strCache>
            </c:strRef>
          </c:tx>
          <c:spPr>
            <a:solidFill>
              <a:schemeClr val="accent1">
                <a:lumMod val="50000"/>
                <a:lumOff val="50000"/>
              </a:schemeClr>
            </a:solidFill>
            <a:ln>
              <a:noFill/>
            </a:ln>
            <a:effectLst/>
          </c:spPr>
          <c:invertIfNegative val="0"/>
          <c:cat>
            <c:strRef>
              <c:f>'Cleaned Data'!$F$1</c:f>
              <c:strCache>
                <c:ptCount val="1"/>
                <c:pt idx="0">
                  <c:v> Volume (24) USD_cleaned </c:v>
                </c:pt>
              </c:strCache>
            </c:strRef>
          </c:cat>
          <c:val>
            <c:numRef>
              <c:f>'Cleaned Data'!$F$104</c:f>
            </c:numRef>
          </c:val>
          <c:extLst>
            <c:ext xmlns:c16="http://schemas.microsoft.com/office/drawing/2014/chart" uri="{C3380CC4-5D6E-409C-BE32-E72D297353CC}">
              <c16:uniqueId val="{00000066-1491-467E-B9F1-75460D4C920C}"/>
            </c:ext>
          </c:extLst>
        </c:ser>
        <c:ser>
          <c:idx val="103"/>
          <c:order val="103"/>
          <c:tx>
            <c:strRef>
              <c:f>'Cleaned Data'!$A$105</c:f>
              <c:strCache>
                <c:ptCount val="1"/>
                <c:pt idx="0">
                  <c:v>U2U Network</c:v>
                </c:pt>
              </c:strCache>
            </c:strRef>
          </c:tx>
          <c:spPr>
            <a:solidFill>
              <a:schemeClr val="accent2">
                <a:lumMod val="50000"/>
                <a:lumOff val="50000"/>
              </a:schemeClr>
            </a:solidFill>
            <a:ln>
              <a:noFill/>
            </a:ln>
            <a:effectLst/>
          </c:spPr>
          <c:invertIfNegative val="0"/>
          <c:cat>
            <c:strRef>
              <c:f>'Cleaned Data'!$F$1</c:f>
              <c:strCache>
                <c:ptCount val="1"/>
                <c:pt idx="0">
                  <c:v> Volume (24) USD_cleaned </c:v>
                </c:pt>
              </c:strCache>
            </c:strRef>
          </c:cat>
          <c:val>
            <c:numRef>
              <c:f>'Cleaned Data'!$F$105</c:f>
            </c:numRef>
          </c:val>
          <c:extLst>
            <c:ext xmlns:c16="http://schemas.microsoft.com/office/drawing/2014/chart" uri="{C3380CC4-5D6E-409C-BE32-E72D297353CC}">
              <c16:uniqueId val="{00000067-1491-467E-B9F1-75460D4C920C}"/>
            </c:ext>
          </c:extLst>
        </c:ser>
        <c:ser>
          <c:idx val="104"/>
          <c:order val="104"/>
          <c:tx>
            <c:strRef>
              <c:f>'Cleaned Data'!$A$106</c:f>
              <c:strCache>
                <c:ptCount val="1"/>
                <c:pt idx="0">
                  <c:v>Persistence One</c:v>
                </c:pt>
              </c:strCache>
            </c:strRef>
          </c:tx>
          <c:spPr>
            <a:solidFill>
              <a:schemeClr val="accent3">
                <a:lumMod val="50000"/>
                <a:lumOff val="50000"/>
              </a:schemeClr>
            </a:solidFill>
            <a:ln>
              <a:noFill/>
            </a:ln>
            <a:effectLst/>
          </c:spPr>
          <c:invertIfNegative val="0"/>
          <c:cat>
            <c:strRef>
              <c:f>'Cleaned Data'!$F$1</c:f>
              <c:strCache>
                <c:ptCount val="1"/>
                <c:pt idx="0">
                  <c:v> Volume (24) USD_cleaned </c:v>
                </c:pt>
              </c:strCache>
            </c:strRef>
          </c:cat>
          <c:val>
            <c:numRef>
              <c:f>'Cleaned Data'!$F$106</c:f>
            </c:numRef>
          </c:val>
          <c:extLst>
            <c:ext xmlns:c16="http://schemas.microsoft.com/office/drawing/2014/chart" uri="{C3380CC4-5D6E-409C-BE32-E72D297353CC}">
              <c16:uniqueId val="{00000068-1491-467E-B9F1-75460D4C920C}"/>
            </c:ext>
          </c:extLst>
        </c:ser>
        <c:ser>
          <c:idx val="105"/>
          <c:order val="105"/>
          <c:tx>
            <c:strRef>
              <c:f>'Cleaned Data'!$A$107</c:f>
              <c:strCache>
                <c:ptCount val="1"/>
                <c:pt idx="0">
                  <c:v>TROLL (SOL)</c:v>
                </c:pt>
              </c:strCache>
            </c:strRef>
          </c:tx>
          <c:spPr>
            <a:solidFill>
              <a:schemeClr val="accent4">
                <a:lumMod val="50000"/>
                <a:lumOff val="50000"/>
              </a:schemeClr>
            </a:solidFill>
            <a:ln>
              <a:noFill/>
            </a:ln>
            <a:effectLst/>
          </c:spPr>
          <c:invertIfNegative val="0"/>
          <c:cat>
            <c:strRef>
              <c:f>'Cleaned Data'!$F$1</c:f>
              <c:strCache>
                <c:ptCount val="1"/>
                <c:pt idx="0">
                  <c:v> Volume (24) USD_cleaned </c:v>
                </c:pt>
              </c:strCache>
            </c:strRef>
          </c:cat>
          <c:val>
            <c:numRef>
              <c:f>'Cleaned Data'!$F$107</c:f>
            </c:numRef>
          </c:val>
          <c:extLst>
            <c:ext xmlns:c16="http://schemas.microsoft.com/office/drawing/2014/chart" uri="{C3380CC4-5D6E-409C-BE32-E72D297353CC}">
              <c16:uniqueId val="{00000069-1491-467E-B9F1-75460D4C920C}"/>
            </c:ext>
          </c:extLst>
        </c:ser>
        <c:ser>
          <c:idx val="106"/>
          <c:order val="106"/>
          <c:tx>
            <c:strRef>
              <c:f>'Cleaned Data'!$A$108</c:f>
              <c:strCache>
                <c:ptCount val="1"/>
                <c:pt idx="0">
                  <c:v>WeFi</c:v>
                </c:pt>
              </c:strCache>
            </c:strRef>
          </c:tx>
          <c:spPr>
            <a:solidFill>
              <a:schemeClr val="accent5">
                <a:lumMod val="50000"/>
                <a:lumOff val="50000"/>
              </a:schemeClr>
            </a:solidFill>
            <a:ln>
              <a:noFill/>
            </a:ln>
            <a:effectLst/>
          </c:spPr>
          <c:invertIfNegative val="0"/>
          <c:cat>
            <c:strRef>
              <c:f>'Cleaned Data'!$F$1</c:f>
              <c:strCache>
                <c:ptCount val="1"/>
                <c:pt idx="0">
                  <c:v> Volume (24) USD_cleaned </c:v>
                </c:pt>
              </c:strCache>
            </c:strRef>
          </c:cat>
          <c:val>
            <c:numRef>
              <c:f>'Cleaned Data'!$F$108</c:f>
            </c:numRef>
          </c:val>
          <c:extLst>
            <c:ext xmlns:c16="http://schemas.microsoft.com/office/drawing/2014/chart" uri="{C3380CC4-5D6E-409C-BE32-E72D297353CC}">
              <c16:uniqueId val="{0000006A-1491-467E-B9F1-75460D4C920C}"/>
            </c:ext>
          </c:extLst>
        </c:ser>
        <c:ser>
          <c:idx val="107"/>
          <c:order val="107"/>
          <c:tx>
            <c:strRef>
              <c:f>'Cleaned Data'!$A$109</c:f>
              <c:strCache>
                <c:ptCount val="1"/>
                <c:pt idx="0">
                  <c:v>Dora Factory</c:v>
                </c:pt>
              </c:strCache>
            </c:strRef>
          </c:tx>
          <c:spPr>
            <a:solidFill>
              <a:schemeClr val="accent6">
                <a:lumMod val="50000"/>
                <a:lumOff val="50000"/>
              </a:schemeClr>
            </a:solidFill>
            <a:ln>
              <a:noFill/>
            </a:ln>
            <a:effectLst/>
          </c:spPr>
          <c:invertIfNegative val="0"/>
          <c:cat>
            <c:strRef>
              <c:f>'Cleaned Data'!$F$1</c:f>
              <c:strCache>
                <c:ptCount val="1"/>
                <c:pt idx="0">
                  <c:v> Volume (24) USD_cleaned </c:v>
                </c:pt>
              </c:strCache>
            </c:strRef>
          </c:cat>
          <c:val>
            <c:numRef>
              <c:f>'Cleaned Data'!$F$109</c:f>
            </c:numRef>
          </c:val>
          <c:extLst>
            <c:ext xmlns:c16="http://schemas.microsoft.com/office/drawing/2014/chart" uri="{C3380CC4-5D6E-409C-BE32-E72D297353CC}">
              <c16:uniqueId val="{0000006B-1491-467E-B9F1-75460D4C920C}"/>
            </c:ext>
          </c:extLst>
        </c:ser>
        <c:ser>
          <c:idx val="108"/>
          <c:order val="108"/>
          <c:tx>
            <c:strRef>
              <c:f>'Cleaned Data'!$A$110</c:f>
              <c:strCache>
                <c:ptCount val="1"/>
                <c:pt idx="0">
                  <c:v>Alon</c:v>
                </c:pt>
              </c:strCache>
            </c:strRef>
          </c:tx>
          <c:spPr>
            <a:solidFill>
              <a:schemeClr val="accent1"/>
            </a:solidFill>
            <a:ln>
              <a:noFill/>
            </a:ln>
            <a:effectLst/>
          </c:spPr>
          <c:invertIfNegative val="0"/>
          <c:cat>
            <c:strRef>
              <c:f>'Cleaned Data'!$F$1</c:f>
              <c:strCache>
                <c:ptCount val="1"/>
                <c:pt idx="0">
                  <c:v> Volume (24) USD_cleaned </c:v>
                </c:pt>
              </c:strCache>
            </c:strRef>
          </c:cat>
          <c:val>
            <c:numRef>
              <c:f>'Cleaned Data'!$F$110</c:f>
            </c:numRef>
          </c:val>
          <c:extLst>
            <c:ext xmlns:c16="http://schemas.microsoft.com/office/drawing/2014/chart" uri="{C3380CC4-5D6E-409C-BE32-E72D297353CC}">
              <c16:uniqueId val="{0000006C-1491-467E-B9F1-75460D4C920C}"/>
            </c:ext>
          </c:extLst>
        </c:ser>
        <c:ser>
          <c:idx val="109"/>
          <c:order val="109"/>
          <c:tx>
            <c:strRef>
              <c:f>'Cleaned Data'!$A$111</c:f>
              <c:strCache>
                <c:ptCount val="1"/>
                <c:pt idx="0">
                  <c:v>Beefy</c:v>
                </c:pt>
              </c:strCache>
            </c:strRef>
          </c:tx>
          <c:spPr>
            <a:solidFill>
              <a:schemeClr val="accent2"/>
            </a:solidFill>
            <a:ln>
              <a:noFill/>
            </a:ln>
            <a:effectLst/>
          </c:spPr>
          <c:invertIfNegative val="0"/>
          <c:cat>
            <c:strRef>
              <c:f>'Cleaned Data'!$F$1</c:f>
              <c:strCache>
                <c:ptCount val="1"/>
                <c:pt idx="0">
                  <c:v> Volume (24) USD_cleaned </c:v>
                </c:pt>
              </c:strCache>
            </c:strRef>
          </c:cat>
          <c:val>
            <c:numRef>
              <c:f>'Cleaned Data'!$F$111</c:f>
            </c:numRef>
          </c:val>
          <c:extLst>
            <c:ext xmlns:c16="http://schemas.microsoft.com/office/drawing/2014/chart" uri="{C3380CC4-5D6E-409C-BE32-E72D297353CC}">
              <c16:uniqueId val="{0000006D-1491-467E-B9F1-75460D4C920C}"/>
            </c:ext>
          </c:extLst>
        </c:ser>
        <c:ser>
          <c:idx val="110"/>
          <c:order val="110"/>
          <c:tx>
            <c:strRef>
              <c:f>'Cleaned Data'!$A$112</c:f>
              <c:strCache>
                <c:ptCount val="1"/>
                <c:pt idx="0">
                  <c:v>Karate Combat</c:v>
                </c:pt>
              </c:strCache>
            </c:strRef>
          </c:tx>
          <c:spPr>
            <a:solidFill>
              <a:schemeClr val="accent3"/>
            </a:solidFill>
            <a:ln>
              <a:noFill/>
            </a:ln>
            <a:effectLst/>
          </c:spPr>
          <c:invertIfNegative val="0"/>
          <c:cat>
            <c:strRef>
              <c:f>'Cleaned Data'!$F$1</c:f>
              <c:strCache>
                <c:ptCount val="1"/>
                <c:pt idx="0">
                  <c:v> Volume (24) USD_cleaned </c:v>
                </c:pt>
              </c:strCache>
            </c:strRef>
          </c:cat>
          <c:val>
            <c:numRef>
              <c:f>'Cleaned Data'!$F$112</c:f>
            </c:numRef>
          </c:val>
          <c:extLst>
            <c:ext xmlns:c16="http://schemas.microsoft.com/office/drawing/2014/chart" uri="{C3380CC4-5D6E-409C-BE32-E72D297353CC}">
              <c16:uniqueId val="{0000006E-1491-467E-B9F1-75460D4C920C}"/>
            </c:ext>
          </c:extLst>
        </c:ser>
        <c:ser>
          <c:idx val="111"/>
          <c:order val="111"/>
          <c:tx>
            <c:strRef>
              <c:f>'Cleaned Data'!$A$113</c:f>
              <c:strCache>
                <c:ptCount val="1"/>
                <c:pt idx="0">
                  <c:v>Efinity Token</c:v>
                </c:pt>
              </c:strCache>
            </c:strRef>
          </c:tx>
          <c:spPr>
            <a:solidFill>
              <a:schemeClr val="accent4"/>
            </a:solidFill>
            <a:ln>
              <a:noFill/>
            </a:ln>
            <a:effectLst/>
          </c:spPr>
          <c:invertIfNegative val="0"/>
          <c:cat>
            <c:strRef>
              <c:f>'Cleaned Data'!$F$1</c:f>
              <c:strCache>
                <c:ptCount val="1"/>
                <c:pt idx="0">
                  <c:v> Volume (24) USD_cleaned </c:v>
                </c:pt>
              </c:strCache>
            </c:strRef>
          </c:cat>
          <c:val>
            <c:numRef>
              <c:f>'Cleaned Data'!$F$113</c:f>
            </c:numRef>
          </c:val>
          <c:extLst>
            <c:ext xmlns:c16="http://schemas.microsoft.com/office/drawing/2014/chart" uri="{C3380CC4-5D6E-409C-BE32-E72D297353CC}">
              <c16:uniqueId val="{0000006F-1491-467E-B9F1-75460D4C920C}"/>
            </c:ext>
          </c:extLst>
        </c:ser>
        <c:ser>
          <c:idx val="112"/>
          <c:order val="112"/>
          <c:tx>
            <c:strRef>
              <c:f>'Cleaned Data'!$A$114</c:f>
              <c:strCache>
                <c:ptCount val="1"/>
                <c:pt idx="0">
                  <c:v>Nura Labs</c:v>
                </c:pt>
              </c:strCache>
            </c:strRef>
          </c:tx>
          <c:spPr>
            <a:solidFill>
              <a:schemeClr val="accent5"/>
            </a:solidFill>
            <a:ln>
              <a:noFill/>
            </a:ln>
            <a:effectLst/>
          </c:spPr>
          <c:invertIfNegative val="0"/>
          <c:cat>
            <c:strRef>
              <c:f>'Cleaned Data'!$F$1</c:f>
              <c:strCache>
                <c:ptCount val="1"/>
                <c:pt idx="0">
                  <c:v> Volume (24) USD_cleaned </c:v>
                </c:pt>
              </c:strCache>
            </c:strRef>
          </c:cat>
          <c:val>
            <c:numRef>
              <c:f>'Cleaned Data'!$F$114</c:f>
            </c:numRef>
          </c:val>
          <c:extLst>
            <c:ext xmlns:c16="http://schemas.microsoft.com/office/drawing/2014/chart" uri="{C3380CC4-5D6E-409C-BE32-E72D297353CC}">
              <c16:uniqueId val="{00000070-1491-467E-B9F1-75460D4C920C}"/>
            </c:ext>
          </c:extLst>
        </c:ser>
        <c:ser>
          <c:idx val="113"/>
          <c:order val="113"/>
          <c:tx>
            <c:strRef>
              <c:f>'Cleaned Data'!$A$115</c:f>
              <c:strCache>
                <c:ptCount val="1"/>
                <c:pt idx="0">
                  <c:v>Nexera</c:v>
                </c:pt>
              </c:strCache>
            </c:strRef>
          </c:tx>
          <c:spPr>
            <a:solidFill>
              <a:schemeClr val="accent6"/>
            </a:solidFill>
            <a:ln>
              <a:noFill/>
            </a:ln>
            <a:effectLst/>
          </c:spPr>
          <c:invertIfNegative val="0"/>
          <c:cat>
            <c:strRef>
              <c:f>'Cleaned Data'!$F$1</c:f>
              <c:strCache>
                <c:ptCount val="1"/>
                <c:pt idx="0">
                  <c:v> Volume (24) USD_cleaned </c:v>
                </c:pt>
              </c:strCache>
            </c:strRef>
          </c:cat>
          <c:val>
            <c:numRef>
              <c:f>'Cleaned Data'!$F$115</c:f>
            </c:numRef>
          </c:val>
          <c:extLst>
            <c:ext xmlns:c16="http://schemas.microsoft.com/office/drawing/2014/chart" uri="{C3380CC4-5D6E-409C-BE32-E72D297353CC}">
              <c16:uniqueId val="{00000071-1491-467E-B9F1-75460D4C920C}"/>
            </c:ext>
          </c:extLst>
        </c:ser>
        <c:ser>
          <c:idx val="114"/>
          <c:order val="114"/>
          <c:tx>
            <c:strRef>
              <c:f>'Cleaned Data'!$A$116</c:f>
              <c:strCache>
                <c:ptCount val="1"/>
                <c:pt idx="0">
                  <c:v>Department Of Government Efficiency (dogegov.com)</c:v>
                </c:pt>
              </c:strCache>
            </c:strRef>
          </c:tx>
          <c:spPr>
            <a:solidFill>
              <a:schemeClr val="accent1">
                <a:lumMod val="60000"/>
              </a:schemeClr>
            </a:solidFill>
            <a:ln>
              <a:noFill/>
            </a:ln>
            <a:effectLst/>
          </c:spPr>
          <c:invertIfNegative val="0"/>
          <c:cat>
            <c:strRef>
              <c:f>'Cleaned Data'!$F$1</c:f>
              <c:strCache>
                <c:ptCount val="1"/>
                <c:pt idx="0">
                  <c:v> Volume (24) USD_cleaned </c:v>
                </c:pt>
              </c:strCache>
            </c:strRef>
          </c:cat>
          <c:val>
            <c:numRef>
              <c:f>'Cleaned Data'!$F$116</c:f>
            </c:numRef>
          </c:val>
          <c:extLst>
            <c:ext xmlns:c16="http://schemas.microsoft.com/office/drawing/2014/chart" uri="{C3380CC4-5D6E-409C-BE32-E72D297353CC}">
              <c16:uniqueId val="{00000072-1491-467E-B9F1-75460D4C920C}"/>
            </c:ext>
          </c:extLst>
        </c:ser>
        <c:ser>
          <c:idx val="115"/>
          <c:order val="115"/>
          <c:tx>
            <c:strRef>
              <c:f>'Cleaned Data'!$A$117</c:f>
              <c:strCache>
                <c:ptCount val="1"/>
                <c:pt idx="0">
                  <c:v>moonpig</c:v>
                </c:pt>
              </c:strCache>
            </c:strRef>
          </c:tx>
          <c:spPr>
            <a:solidFill>
              <a:schemeClr val="accent2">
                <a:lumMod val="60000"/>
              </a:schemeClr>
            </a:solidFill>
            <a:ln>
              <a:noFill/>
            </a:ln>
            <a:effectLst/>
          </c:spPr>
          <c:invertIfNegative val="0"/>
          <c:cat>
            <c:strRef>
              <c:f>'Cleaned Data'!$F$1</c:f>
              <c:strCache>
                <c:ptCount val="1"/>
                <c:pt idx="0">
                  <c:v> Volume (24) USD_cleaned </c:v>
                </c:pt>
              </c:strCache>
            </c:strRef>
          </c:cat>
          <c:val>
            <c:numRef>
              <c:f>'Cleaned Data'!$F$117</c:f>
            </c:numRef>
          </c:val>
          <c:extLst>
            <c:ext xmlns:c16="http://schemas.microsoft.com/office/drawing/2014/chart" uri="{C3380CC4-5D6E-409C-BE32-E72D297353CC}">
              <c16:uniqueId val="{00000073-1491-467E-B9F1-75460D4C920C}"/>
            </c:ext>
          </c:extLst>
        </c:ser>
        <c:ser>
          <c:idx val="116"/>
          <c:order val="116"/>
          <c:tx>
            <c:strRef>
              <c:f>'Cleaned Data'!$A$118</c:f>
              <c:strCache>
                <c:ptCount val="1"/>
                <c:pt idx="0">
                  <c:v>Aerobud</c:v>
                </c:pt>
              </c:strCache>
            </c:strRef>
          </c:tx>
          <c:spPr>
            <a:solidFill>
              <a:schemeClr val="accent3">
                <a:lumMod val="60000"/>
              </a:schemeClr>
            </a:solidFill>
            <a:ln>
              <a:noFill/>
            </a:ln>
            <a:effectLst/>
          </c:spPr>
          <c:invertIfNegative val="0"/>
          <c:cat>
            <c:strRef>
              <c:f>'Cleaned Data'!$F$1</c:f>
              <c:strCache>
                <c:ptCount val="1"/>
                <c:pt idx="0">
                  <c:v> Volume (24) USD_cleaned </c:v>
                </c:pt>
              </c:strCache>
            </c:strRef>
          </c:cat>
          <c:val>
            <c:numRef>
              <c:f>'Cleaned Data'!$F$118</c:f>
            </c:numRef>
          </c:val>
          <c:extLst>
            <c:ext xmlns:c16="http://schemas.microsoft.com/office/drawing/2014/chart" uri="{C3380CC4-5D6E-409C-BE32-E72D297353CC}">
              <c16:uniqueId val="{00000074-1491-467E-B9F1-75460D4C920C}"/>
            </c:ext>
          </c:extLst>
        </c:ser>
        <c:ser>
          <c:idx val="117"/>
          <c:order val="117"/>
          <c:tx>
            <c:strRef>
              <c:f>'Cleaned Data'!$A$119</c:f>
              <c:strCache>
                <c:ptCount val="1"/>
                <c:pt idx="0">
                  <c:v>cheqd</c:v>
                </c:pt>
              </c:strCache>
            </c:strRef>
          </c:tx>
          <c:spPr>
            <a:solidFill>
              <a:schemeClr val="accent4">
                <a:lumMod val="60000"/>
              </a:schemeClr>
            </a:solidFill>
            <a:ln>
              <a:noFill/>
            </a:ln>
            <a:effectLst/>
          </c:spPr>
          <c:invertIfNegative val="0"/>
          <c:cat>
            <c:strRef>
              <c:f>'Cleaned Data'!$F$1</c:f>
              <c:strCache>
                <c:ptCount val="1"/>
                <c:pt idx="0">
                  <c:v> Volume (24) USD_cleaned </c:v>
                </c:pt>
              </c:strCache>
            </c:strRef>
          </c:cat>
          <c:val>
            <c:numRef>
              <c:f>'Cleaned Data'!$F$119</c:f>
            </c:numRef>
          </c:val>
          <c:extLst>
            <c:ext xmlns:c16="http://schemas.microsoft.com/office/drawing/2014/chart" uri="{C3380CC4-5D6E-409C-BE32-E72D297353CC}">
              <c16:uniqueId val="{00000075-1491-467E-B9F1-75460D4C920C}"/>
            </c:ext>
          </c:extLst>
        </c:ser>
        <c:ser>
          <c:idx val="118"/>
          <c:order val="118"/>
          <c:tx>
            <c:strRef>
              <c:f>'Cleaned Data'!$A$120</c:f>
              <c:strCache>
                <c:ptCount val="1"/>
                <c:pt idx="0">
                  <c:v>Koma Inu</c:v>
                </c:pt>
              </c:strCache>
            </c:strRef>
          </c:tx>
          <c:spPr>
            <a:solidFill>
              <a:schemeClr val="accent5">
                <a:lumMod val="60000"/>
              </a:schemeClr>
            </a:solidFill>
            <a:ln>
              <a:noFill/>
            </a:ln>
            <a:effectLst/>
          </c:spPr>
          <c:invertIfNegative val="0"/>
          <c:cat>
            <c:strRef>
              <c:f>'Cleaned Data'!$F$1</c:f>
              <c:strCache>
                <c:ptCount val="1"/>
                <c:pt idx="0">
                  <c:v> Volume (24) USD_cleaned </c:v>
                </c:pt>
              </c:strCache>
            </c:strRef>
          </c:cat>
          <c:val>
            <c:numRef>
              <c:f>'Cleaned Data'!$F$120</c:f>
            </c:numRef>
          </c:val>
          <c:extLst>
            <c:ext xmlns:c16="http://schemas.microsoft.com/office/drawing/2014/chart" uri="{C3380CC4-5D6E-409C-BE32-E72D297353CC}">
              <c16:uniqueId val="{00000076-1491-467E-B9F1-75460D4C920C}"/>
            </c:ext>
          </c:extLst>
        </c:ser>
        <c:ser>
          <c:idx val="119"/>
          <c:order val="119"/>
          <c:tx>
            <c:strRef>
              <c:f>'Cleaned Data'!$A$121</c:f>
              <c:strCache>
                <c:ptCount val="1"/>
                <c:pt idx="0">
                  <c:v>Pitbull</c:v>
                </c:pt>
              </c:strCache>
            </c:strRef>
          </c:tx>
          <c:spPr>
            <a:solidFill>
              <a:schemeClr val="accent6">
                <a:lumMod val="60000"/>
              </a:schemeClr>
            </a:solidFill>
            <a:ln>
              <a:noFill/>
            </a:ln>
            <a:effectLst/>
          </c:spPr>
          <c:invertIfNegative val="0"/>
          <c:cat>
            <c:strRef>
              <c:f>'Cleaned Data'!$F$1</c:f>
              <c:strCache>
                <c:ptCount val="1"/>
                <c:pt idx="0">
                  <c:v> Volume (24) USD_cleaned </c:v>
                </c:pt>
              </c:strCache>
            </c:strRef>
          </c:cat>
          <c:val>
            <c:numRef>
              <c:f>'Cleaned Data'!$F$121</c:f>
            </c:numRef>
          </c:val>
          <c:extLst>
            <c:ext xmlns:c16="http://schemas.microsoft.com/office/drawing/2014/chart" uri="{C3380CC4-5D6E-409C-BE32-E72D297353CC}">
              <c16:uniqueId val="{00000077-1491-467E-B9F1-75460D4C920C}"/>
            </c:ext>
          </c:extLst>
        </c:ser>
        <c:ser>
          <c:idx val="120"/>
          <c:order val="120"/>
          <c:tx>
            <c:strRef>
              <c:f>'Cleaned Data'!$A$122</c:f>
              <c:strCache>
                <c:ptCount val="1"/>
                <c:pt idx="0">
                  <c:v>Venus LTC</c:v>
                </c:pt>
              </c:strCache>
            </c:strRef>
          </c:tx>
          <c:spPr>
            <a:solidFill>
              <a:schemeClr val="accent1">
                <a:lumMod val="80000"/>
                <a:lumOff val="20000"/>
              </a:schemeClr>
            </a:solidFill>
            <a:ln>
              <a:noFill/>
            </a:ln>
            <a:effectLst/>
          </c:spPr>
          <c:invertIfNegative val="0"/>
          <c:cat>
            <c:strRef>
              <c:f>'Cleaned Data'!$F$1</c:f>
              <c:strCache>
                <c:ptCount val="1"/>
                <c:pt idx="0">
                  <c:v> Volume (24) USD_cleaned </c:v>
                </c:pt>
              </c:strCache>
            </c:strRef>
          </c:cat>
          <c:val>
            <c:numRef>
              <c:f>'Cleaned Data'!$F$122</c:f>
            </c:numRef>
          </c:val>
          <c:extLst>
            <c:ext xmlns:c16="http://schemas.microsoft.com/office/drawing/2014/chart" uri="{C3380CC4-5D6E-409C-BE32-E72D297353CC}">
              <c16:uniqueId val="{00000078-1491-467E-B9F1-75460D4C920C}"/>
            </c:ext>
          </c:extLst>
        </c:ser>
        <c:ser>
          <c:idx val="121"/>
          <c:order val="121"/>
          <c:tx>
            <c:strRef>
              <c:f>'Cleaned Data'!$A$123</c:f>
              <c:strCache>
                <c:ptCount val="1"/>
                <c:pt idx="0">
                  <c:v>KONET</c:v>
                </c:pt>
              </c:strCache>
            </c:strRef>
          </c:tx>
          <c:spPr>
            <a:solidFill>
              <a:schemeClr val="accent2">
                <a:lumMod val="80000"/>
                <a:lumOff val="20000"/>
              </a:schemeClr>
            </a:solidFill>
            <a:ln>
              <a:noFill/>
            </a:ln>
            <a:effectLst/>
          </c:spPr>
          <c:invertIfNegative val="0"/>
          <c:cat>
            <c:strRef>
              <c:f>'Cleaned Data'!$F$1</c:f>
              <c:strCache>
                <c:ptCount val="1"/>
                <c:pt idx="0">
                  <c:v> Volume (24) USD_cleaned </c:v>
                </c:pt>
              </c:strCache>
            </c:strRef>
          </c:cat>
          <c:val>
            <c:numRef>
              <c:f>'Cleaned Data'!$F$123</c:f>
            </c:numRef>
          </c:val>
          <c:extLst>
            <c:ext xmlns:c16="http://schemas.microsoft.com/office/drawing/2014/chart" uri="{C3380CC4-5D6E-409C-BE32-E72D297353CC}">
              <c16:uniqueId val="{00000079-1491-467E-B9F1-75460D4C920C}"/>
            </c:ext>
          </c:extLst>
        </c:ser>
        <c:ser>
          <c:idx val="122"/>
          <c:order val="122"/>
          <c:tx>
            <c:strRef>
              <c:f>'Cleaned Data'!$A$124</c:f>
              <c:strCache>
                <c:ptCount val="1"/>
                <c:pt idx="0">
                  <c:v>Creta World</c:v>
                </c:pt>
              </c:strCache>
            </c:strRef>
          </c:tx>
          <c:spPr>
            <a:solidFill>
              <a:schemeClr val="accent3">
                <a:lumMod val="80000"/>
                <a:lumOff val="20000"/>
              </a:schemeClr>
            </a:solidFill>
            <a:ln>
              <a:noFill/>
            </a:ln>
            <a:effectLst/>
          </c:spPr>
          <c:invertIfNegative val="0"/>
          <c:cat>
            <c:strRef>
              <c:f>'Cleaned Data'!$F$1</c:f>
              <c:strCache>
                <c:ptCount val="1"/>
                <c:pt idx="0">
                  <c:v> Volume (24) USD_cleaned </c:v>
                </c:pt>
              </c:strCache>
            </c:strRef>
          </c:cat>
          <c:val>
            <c:numRef>
              <c:f>'Cleaned Data'!$F$124</c:f>
            </c:numRef>
          </c:val>
          <c:extLst>
            <c:ext xmlns:c16="http://schemas.microsoft.com/office/drawing/2014/chart" uri="{C3380CC4-5D6E-409C-BE32-E72D297353CC}">
              <c16:uniqueId val="{0000007A-1491-467E-B9F1-75460D4C920C}"/>
            </c:ext>
          </c:extLst>
        </c:ser>
        <c:ser>
          <c:idx val="123"/>
          <c:order val="123"/>
          <c:tx>
            <c:strRef>
              <c:f>'Cleaned Data'!$A$125</c:f>
              <c:strCache>
                <c:ptCount val="1"/>
                <c:pt idx="0">
                  <c:v>WazirX</c:v>
                </c:pt>
              </c:strCache>
            </c:strRef>
          </c:tx>
          <c:spPr>
            <a:solidFill>
              <a:schemeClr val="accent4">
                <a:lumMod val="80000"/>
                <a:lumOff val="20000"/>
              </a:schemeClr>
            </a:solidFill>
            <a:ln>
              <a:noFill/>
            </a:ln>
            <a:effectLst/>
          </c:spPr>
          <c:invertIfNegative val="0"/>
          <c:cat>
            <c:strRef>
              <c:f>'Cleaned Data'!$F$1</c:f>
              <c:strCache>
                <c:ptCount val="1"/>
                <c:pt idx="0">
                  <c:v> Volume (24) USD_cleaned </c:v>
                </c:pt>
              </c:strCache>
            </c:strRef>
          </c:cat>
          <c:val>
            <c:numRef>
              <c:f>'Cleaned Data'!$F$125</c:f>
            </c:numRef>
          </c:val>
          <c:extLst>
            <c:ext xmlns:c16="http://schemas.microsoft.com/office/drawing/2014/chart" uri="{C3380CC4-5D6E-409C-BE32-E72D297353CC}">
              <c16:uniqueId val="{0000007B-1491-467E-B9F1-75460D4C920C}"/>
            </c:ext>
          </c:extLst>
        </c:ser>
        <c:ser>
          <c:idx val="124"/>
          <c:order val="124"/>
          <c:tx>
            <c:strRef>
              <c:f>'Cleaned Data'!$A$126</c:f>
              <c:strCache>
                <c:ptCount val="1"/>
                <c:pt idx="0">
                  <c:v>Baanx</c:v>
                </c:pt>
              </c:strCache>
            </c:strRef>
          </c:tx>
          <c:spPr>
            <a:solidFill>
              <a:schemeClr val="accent5">
                <a:lumMod val="80000"/>
                <a:lumOff val="20000"/>
              </a:schemeClr>
            </a:solidFill>
            <a:ln>
              <a:noFill/>
            </a:ln>
            <a:effectLst/>
          </c:spPr>
          <c:invertIfNegative val="0"/>
          <c:cat>
            <c:strRef>
              <c:f>'Cleaned Data'!$F$1</c:f>
              <c:strCache>
                <c:ptCount val="1"/>
                <c:pt idx="0">
                  <c:v> Volume (24) USD_cleaned </c:v>
                </c:pt>
              </c:strCache>
            </c:strRef>
          </c:cat>
          <c:val>
            <c:numRef>
              <c:f>'Cleaned Data'!$F$126</c:f>
            </c:numRef>
          </c:val>
          <c:extLst>
            <c:ext xmlns:c16="http://schemas.microsoft.com/office/drawing/2014/chart" uri="{C3380CC4-5D6E-409C-BE32-E72D297353CC}">
              <c16:uniqueId val="{0000007C-1491-467E-B9F1-75460D4C920C}"/>
            </c:ext>
          </c:extLst>
        </c:ser>
        <c:ser>
          <c:idx val="125"/>
          <c:order val="125"/>
          <c:tx>
            <c:strRef>
              <c:f>'Cleaned Data'!$A$127</c:f>
              <c:strCache>
                <c:ptCount val="1"/>
                <c:pt idx="0">
                  <c:v>SwarmNode.ai</c:v>
                </c:pt>
              </c:strCache>
            </c:strRef>
          </c:tx>
          <c:spPr>
            <a:solidFill>
              <a:schemeClr val="accent6">
                <a:lumMod val="80000"/>
                <a:lumOff val="20000"/>
              </a:schemeClr>
            </a:solidFill>
            <a:ln>
              <a:noFill/>
            </a:ln>
            <a:effectLst/>
          </c:spPr>
          <c:invertIfNegative val="0"/>
          <c:cat>
            <c:strRef>
              <c:f>'Cleaned Data'!$F$1</c:f>
              <c:strCache>
                <c:ptCount val="1"/>
                <c:pt idx="0">
                  <c:v> Volume (24) USD_cleaned </c:v>
                </c:pt>
              </c:strCache>
            </c:strRef>
          </c:cat>
          <c:val>
            <c:numRef>
              <c:f>'Cleaned Data'!$F$127</c:f>
            </c:numRef>
          </c:val>
          <c:extLst>
            <c:ext xmlns:c16="http://schemas.microsoft.com/office/drawing/2014/chart" uri="{C3380CC4-5D6E-409C-BE32-E72D297353CC}">
              <c16:uniqueId val="{0000007D-1491-467E-B9F1-75460D4C920C}"/>
            </c:ext>
          </c:extLst>
        </c:ser>
        <c:ser>
          <c:idx val="126"/>
          <c:order val="126"/>
          <c:tx>
            <c:strRef>
              <c:f>'Cleaned Data'!$A$128</c:f>
              <c:strCache>
                <c:ptCount val="1"/>
                <c:pt idx="0">
                  <c:v>Hathor</c:v>
                </c:pt>
              </c:strCache>
            </c:strRef>
          </c:tx>
          <c:spPr>
            <a:solidFill>
              <a:schemeClr val="accent1">
                <a:lumMod val="80000"/>
              </a:schemeClr>
            </a:solidFill>
            <a:ln>
              <a:noFill/>
            </a:ln>
            <a:effectLst/>
          </c:spPr>
          <c:invertIfNegative val="0"/>
          <c:cat>
            <c:strRef>
              <c:f>'Cleaned Data'!$F$1</c:f>
              <c:strCache>
                <c:ptCount val="1"/>
                <c:pt idx="0">
                  <c:v> Volume (24) USD_cleaned </c:v>
                </c:pt>
              </c:strCache>
            </c:strRef>
          </c:cat>
          <c:val>
            <c:numRef>
              <c:f>'Cleaned Data'!$F$128</c:f>
            </c:numRef>
          </c:val>
          <c:extLst>
            <c:ext xmlns:c16="http://schemas.microsoft.com/office/drawing/2014/chart" uri="{C3380CC4-5D6E-409C-BE32-E72D297353CC}">
              <c16:uniqueId val="{0000007E-1491-467E-B9F1-75460D4C920C}"/>
            </c:ext>
          </c:extLst>
        </c:ser>
        <c:ser>
          <c:idx val="127"/>
          <c:order val="127"/>
          <c:tx>
            <c:strRef>
              <c:f>'Cleaned Data'!$A$129</c:f>
              <c:strCache>
                <c:ptCount val="1"/>
                <c:pt idx="0">
                  <c:v>Venus DAI</c:v>
                </c:pt>
              </c:strCache>
            </c:strRef>
          </c:tx>
          <c:spPr>
            <a:solidFill>
              <a:schemeClr val="accent2">
                <a:lumMod val="80000"/>
              </a:schemeClr>
            </a:solidFill>
            <a:ln>
              <a:noFill/>
            </a:ln>
            <a:effectLst/>
          </c:spPr>
          <c:invertIfNegative val="0"/>
          <c:cat>
            <c:strRef>
              <c:f>'Cleaned Data'!$F$1</c:f>
              <c:strCache>
                <c:ptCount val="1"/>
                <c:pt idx="0">
                  <c:v> Volume (24) USD_cleaned </c:v>
                </c:pt>
              </c:strCache>
            </c:strRef>
          </c:cat>
          <c:val>
            <c:numRef>
              <c:f>'Cleaned Data'!$F$129</c:f>
            </c:numRef>
          </c:val>
          <c:extLst>
            <c:ext xmlns:c16="http://schemas.microsoft.com/office/drawing/2014/chart" uri="{C3380CC4-5D6E-409C-BE32-E72D297353CC}">
              <c16:uniqueId val="{0000007F-1491-467E-B9F1-75460D4C920C}"/>
            </c:ext>
          </c:extLst>
        </c:ser>
        <c:ser>
          <c:idx val="128"/>
          <c:order val="128"/>
          <c:tx>
            <c:strRef>
              <c:f>'Cleaned Data'!$A$130</c:f>
              <c:strCache>
                <c:ptCount val="1"/>
                <c:pt idx="0">
                  <c:v>trac (Ordinals)</c:v>
                </c:pt>
              </c:strCache>
            </c:strRef>
          </c:tx>
          <c:spPr>
            <a:solidFill>
              <a:schemeClr val="accent3">
                <a:lumMod val="80000"/>
              </a:schemeClr>
            </a:solidFill>
            <a:ln>
              <a:noFill/>
            </a:ln>
            <a:effectLst/>
          </c:spPr>
          <c:invertIfNegative val="0"/>
          <c:cat>
            <c:strRef>
              <c:f>'Cleaned Data'!$F$1</c:f>
              <c:strCache>
                <c:ptCount val="1"/>
                <c:pt idx="0">
                  <c:v> Volume (24) USD_cleaned </c:v>
                </c:pt>
              </c:strCache>
            </c:strRef>
          </c:cat>
          <c:val>
            <c:numRef>
              <c:f>'Cleaned Data'!$F$130</c:f>
            </c:numRef>
          </c:val>
          <c:extLst>
            <c:ext xmlns:c16="http://schemas.microsoft.com/office/drawing/2014/chart" uri="{C3380CC4-5D6E-409C-BE32-E72D297353CC}">
              <c16:uniqueId val="{00000080-1491-467E-B9F1-75460D4C920C}"/>
            </c:ext>
          </c:extLst>
        </c:ser>
        <c:ser>
          <c:idx val="129"/>
          <c:order val="129"/>
          <c:tx>
            <c:strRef>
              <c:f>'Cleaned Data'!$A$131</c:f>
              <c:strCache>
                <c:ptCount val="1"/>
                <c:pt idx="0">
                  <c:v>AirSwap</c:v>
                </c:pt>
              </c:strCache>
            </c:strRef>
          </c:tx>
          <c:spPr>
            <a:solidFill>
              <a:schemeClr val="accent4">
                <a:lumMod val="80000"/>
              </a:schemeClr>
            </a:solidFill>
            <a:ln>
              <a:noFill/>
            </a:ln>
            <a:effectLst/>
          </c:spPr>
          <c:invertIfNegative val="0"/>
          <c:cat>
            <c:strRef>
              <c:f>'Cleaned Data'!$F$1</c:f>
              <c:strCache>
                <c:ptCount val="1"/>
                <c:pt idx="0">
                  <c:v> Volume (24) USD_cleaned </c:v>
                </c:pt>
              </c:strCache>
            </c:strRef>
          </c:cat>
          <c:val>
            <c:numRef>
              <c:f>'Cleaned Data'!$F$131</c:f>
            </c:numRef>
          </c:val>
          <c:extLst>
            <c:ext xmlns:c16="http://schemas.microsoft.com/office/drawing/2014/chart" uri="{C3380CC4-5D6E-409C-BE32-E72D297353CC}">
              <c16:uniqueId val="{00000081-1491-467E-B9F1-75460D4C920C}"/>
            </c:ext>
          </c:extLst>
        </c:ser>
        <c:ser>
          <c:idx val="130"/>
          <c:order val="130"/>
          <c:tx>
            <c:strRef>
              <c:f>'Cleaned Data'!$A$132</c:f>
              <c:strCache>
                <c:ptCount val="1"/>
                <c:pt idx="0">
                  <c:v>nubcat</c:v>
                </c:pt>
              </c:strCache>
            </c:strRef>
          </c:tx>
          <c:spPr>
            <a:solidFill>
              <a:schemeClr val="accent5">
                <a:lumMod val="80000"/>
              </a:schemeClr>
            </a:solidFill>
            <a:ln>
              <a:noFill/>
            </a:ln>
            <a:effectLst/>
          </c:spPr>
          <c:invertIfNegative val="0"/>
          <c:cat>
            <c:strRef>
              <c:f>'Cleaned Data'!$F$1</c:f>
              <c:strCache>
                <c:ptCount val="1"/>
                <c:pt idx="0">
                  <c:v> Volume (24) USD_cleaned </c:v>
                </c:pt>
              </c:strCache>
            </c:strRef>
          </c:cat>
          <c:val>
            <c:numRef>
              <c:f>'Cleaned Data'!$F$132</c:f>
            </c:numRef>
          </c:val>
          <c:extLst>
            <c:ext xmlns:c16="http://schemas.microsoft.com/office/drawing/2014/chart" uri="{C3380CC4-5D6E-409C-BE32-E72D297353CC}">
              <c16:uniqueId val="{00000082-1491-467E-B9F1-75460D4C920C}"/>
            </c:ext>
          </c:extLst>
        </c:ser>
        <c:ser>
          <c:idx val="131"/>
          <c:order val="131"/>
          <c:tx>
            <c:strRef>
              <c:f>'Cleaned Data'!$A$133</c:f>
              <c:strCache>
                <c:ptCount val="1"/>
                <c:pt idx="0">
                  <c:v>CrossFi</c:v>
                </c:pt>
              </c:strCache>
            </c:strRef>
          </c:tx>
          <c:spPr>
            <a:solidFill>
              <a:schemeClr val="accent6">
                <a:lumMod val="80000"/>
              </a:schemeClr>
            </a:solidFill>
            <a:ln>
              <a:noFill/>
            </a:ln>
            <a:effectLst/>
          </c:spPr>
          <c:invertIfNegative val="0"/>
          <c:cat>
            <c:strRef>
              <c:f>'Cleaned Data'!$F$1</c:f>
              <c:strCache>
                <c:ptCount val="1"/>
                <c:pt idx="0">
                  <c:v> Volume (24) USD_cleaned </c:v>
                </c:pt>
              </c:strCache>
            </c:strRef>
          </c:cat>
          <c:val>
            <c:numRef>
              <c:f>'Cleaned Data'!$F$133</c:f>
            </c:numRef>
          </c:val>
          <c:extLst>
            <c:ext xmlns:c16="http://schemas.microsoft.com/office/drawing/2014/chart" uri="{C3380CC4-5D6E-409C-BE32-E72D297353CC}">
              <c16:uniqueId val="{00000083-1491-467E-B9F1-75460D4C920C}"/>
            </c:ext>
          </c:extLst>
        </c:ser>
        <c:ser>
          <c:idx val="132"/>
          <c:order val="132"/>
          <c:tx>
            <c:strRef>
              <c:f>'Cleaned Data'!$A$134</c:f>
              <c:strCache>
                <c:ptCount val="1"/>
                <c:pt idx="0">
                  <c:v>Tron Bull</c:v>
                </c:pt>
              </c:strCache>
            </c:strRef>
          </c:tx>
          <c:spPr>
            <a:solidFill>
              <a:schemeClr val="accent1">
                <a:lumMod val="60000"/>
                <a:lumOff val="40000"/>
              </a:schemeClr>
            </a:solidFill>
            <a:ln>
              <a:noFill/>
            </a:ln>
            <a:effectLst/>
          </c:spPr>
          <c:invertIfNegative val="0"/>
          <c:cat>
            <c:strRef>
              <c:f>'Cleaned Data'!$F$1</c:f>
              <c:strCache>
                <c:ptCount val="1"/>
                <c:pt idx="0">
                  <c:v> Volume (24) USD_cleaned </c:v>
                </c:pt>
              </c:strCache>
            </c:strRef>
          </c:cat>
          <c:val>
            <c:numRef>
              <c:f>'Cleaned Data'!$F$134</c:f>
            </c:numRef>
          </c:val>
          <c:extLst>
            <c:ext xmlns:c16="http://schemas.microsoft.com/office/drawing/2014/chart" uri="{C3380CC4-5D6E-409C-BE32-E72D297353CC}">
              <c16:uniqueId val="{00000084-1491-467E-B9F1-75460D4C920C}"/>
            </c:ext>
          </c:extLst>
        </c:ser>
        <c:ser>
          <c:idx val="133"/>
          <c:order val="133"/>
          <c:tx>
            <c:strRef>
              <c:f>'Cleaned Data'!$A$135</c:f>
              <c:strCache>
                <c:ptCount val="1"/>
                <c:pt idx="0">
                  <c:v>Openfabric AI</c:v>
                </c:pt>
              </c:strCache>
            </c:strRef>
          </c:tx>
          <c:spPr>
            <a:solidFill>
              <a:schemeClr val="accent2">
                <a:lumMod val="60000"/>
                <a:lumOff val="40000"/>
              </a:schemeClr>
            </a:solidFill>
            <a:ln>
              <a:noFill/>
            </a:ln>
            <a:effectLst/>
          </c:spPr>
          <c:invertIfNegative val="0"/>
          <c:cat>
            <c:strRef>
              <c:f>'Cleaned Data'!$F$1</c:f>
              <c:strCache>
                <c:ptCount val="1"/>
                <c:pt idx="0">
                  <c:v> Volume (24) USD_cleaned </c:v>
                </c:pt>
              </c:strCache>
            </c:strRef>
          </c:cat>
          <c:val>
            <c:numRef>
              <c:f>'Cleaned Data'!$F$135</c:f>
            </c:numRef>
          </c:val>
          <c:extLst>
            <c:ext xmlns:c16="http://schemas.microsoft.com/office/drawing/2014/chart" uri="{C3380CC4-5D6E-409C-BE32-E72D297353CC}">
              <c16:uniqueId val="{00000085-1491-467E-B9F1-75460D4C920C}"/>
            </c:ext>
          </c:extLst>
        </c:ser>
        <c:ser>
          <c:idx val="134"/>
          <c:order val="134"/>
          <c:tx>
            <c:strRef>
              <c:f>'Cleaned Data'!$A$136</c:f>
              <c:strCache>
                <c:ptCount val="1"/>
                <c:pt idx="0">
                  <c:v>Electric Vehicle Zone</c:v>
                </c:pt>
              </c:strCache>
            </c:strRef>
          </c:tx>
          <c:spPr>
            <a:solidFill>
              <a:schemeClr val="accent3">
                <a:lumMod val="60000"/>
                <a:lumOff val="40000"/>
              </a:schemeClr>
            </a:solidFill>
            <a:ln>
              <a:noFill/>
            </a:ln>
            <a:effectLst/>
          </c:spPr>
          <c:invertIfNegative val="0"/>
          <c:cat>
            <c:strRef>
              <c:f>'Cleaned Data'!$F$1</c:f>
              <c:strCache>
                <c:ptCount val="1"/>
                <c:pt idx="0">
                  <c:v> Volume (24) USD_cleaned </c:v>
                </c:pt>
              </c:strCache>
            </c:strRef>
          </c:cat>
          <c:val>
            <c:numRef>
              <c:f>'Cleaned Data'!$F$136</c:f>
            </c:numRef>
          </c:val>
          <c:extLst>
            <c:ext xmlns:c16="http://schemas.microsoft.com/office/drawing/2014/chart" uri="{C3380CC4-5D6E-409C-BE32-E72D297353CC}">
              <c16:uniqueId val="{00000086-1491-467E-B9F1-75460D4C920C}"/>
            </c:ext>
          </c:extLst>
        </c:ser>
        <c:ser>
          <c:idx val="135"/>
          <c:order val="135"/>
          <c:tx>
            <c:strRef>
              <c:f>'Cleaned Data'!$A$137</c:f>
              <c:strCache>
                <c:ptCount val="1"/>
                <c:pt idx="0">
                  <c:v>Metahero</c:v>
                </c:pt>
              </c:strCache>
            </c:strRef>
          </c:tx>
          <c:spPr>
            <a:solidFill>
              <a:schemeClr val="accent4">
                <a:lumMod val="60000"/>
                <a:lumOff val="40000"/>
              </a:schemeClr>
            </a:solidFill>
            <a:ln>
              <a:noFill/>
            </a:ln>
            <a:effectLst/>
          </c:spPr>
          <c:invertIfNegative val="0"/>
          <c:cat>
            <c:strRef>
              <c:f>'Cleaned Data'!$F$1</c:f>
              <c:strCache>
                <c:ptCount val="1"/>
                <c:pt idx="0">
                  <c:v> Volume (24) USD_cleaned </c:v>
                </c:pt>
              </c:strCache>
            </c:strRef>
          </c:cat>
          <c:val>
            <c:numRef>
              <c:f>'Cleaned Data'!$F$137</c:f>
            </c:numRef>
          </c:val>
          <c:extLst>
            <c:ext xmlns:c16="http://schemas.microsoft.com/office/drawing/2014/chart" uri="{C3380CC4-5D6E-409C-BE32-E72D297353CC}">
              <c16:uniqueId val="{00000087-1491-467E-B9F1-75460D4C920C}"/>
            </c:ext>
          </c:extLst>
        </c:ser>
        <c:ser>
          <c:idx val="136"/>
          <c:order val="136"/>
          <c:tx>
            <c:strRef>
              <c:f>'Cleaned Data'!$A$138</c:f>
              <c:strCache>
                <c:ptCount val="1"/>
                <c:pt idx="0">
                  <c:v>Inter Milan Fan Token</c:v>
                </c:pt>
              </c:strCache>
            </c:strRef>
          </c:tx>
          <c:spPr>
            <a:solidFill>
              <a:schemeClr val="accent5">
                <a:lumMod val="60000"/>
                <a:lumOff val="40000"/>
              </a:schemeClr>
            </a:solidFill>
            <a:ln>
              <a:noFill/>
            </a:ln>
            <a:effectLst/>
          </c:spPr>
          <c:invertIfNegative val="0"/>
          <c:cat>
            <c:strRef>
              <c:f>'Cleaned Data'!$F$1</c:f>
              <c:strCache>
                <c:ptCount val="1"/>
                <c:pt idx="0">
                  <c:v> Volume (24) USD_cleaned </c:v>
                </c:pt>
              </c:strCache>
            </c:strRef>
          </c:cat>
          <c:val>
            <c:numRef>
              <c:f>'Cleaned Data'!$F$138</c:f>
            </c:numRef>
          </c:val>
          <c:extLst>
            <c:ext xmlns:c16="http://schemas.microsoft.com/office/drawing/2014/chart" uri="{C3380CC4-5D6E-409C-BE32-E72D297353CC}">
              <c16:uniqueId val="{00000088-1491-467E-B9F1-75460D4C920C}"/>
            </c:ext>
          </c:extLst>
        </c:ser>
        <c:ser>
          <c:idx val="137"/>
          <c:order val="137"/>
          <c:tx>
            <c:strRef>
              <c:f>'Cleaned Data'!$A$139</c:f>
              <c:strCache>
                <c:ptCount val="1"/>
                <c:pt idx="0">
                  <c:v>Darkpino</c:v>
                </c:pt>
              </c:strCache>
            </c:strRef>
          </c:tx>
          <c:spPr>
            <a:solidFill>
              <a:schemeClr val="accent6">
                <a:lumMod val="60000"/>
                <a:lumOff val="40000"/>
              </a:schemeClr>
            </a:solidFill>
            <a:ln>
              <a:noFill/>
            </a:ln>
            <a:effectLst/>
          </c:spPr>
          <c:invertIfNegative val="0"/>
          <c:cat>
            <c:strRef>
              <c:f>'Cleaned Data'!$F$1</c:f>
              <c:strCache>
                <c:ptCount val="1"/>
                <c:pt idx="0">
                  <c:v> Volume (24) USD_cleaned </c:v>
                </c:pt>
              </c:strCache>
            </c:strRef>
          </c:cat>
          <c:val>
            <c:numRef>
              <c:f>'Cleaned Data'!$F$139</c:f>
            </c:numRef>
          </c:val>
          <c:extLst>
            <c:ext xmlns:c16="http://schemas.microsoft.com/office/drawing/2014/chart" uri="{C3380CC4-5D6E-409C-BE32-E72D297353CC}">
              <c16:uniqueId val="{00000089-1491-467E-B9F1-75460D4C920C}"/>
            </c:ext>
          </c:extLst>
        </c:ser>
        <c:ser>
          <c:idx val="138"/>
          <c:order val="138"/>
          <c:tx>
            <c:strRef>
              <c:f>'Cleaned Data'!$A$140</c:f>
              <c:strCache>
                <c:ptCount val="1"/>
                <c:pt idx="0">
                  <c:v>Velas</c:v>
                </c:pt>
              </c:strCache>
            </c:strRef>
          </c:tx>
          <c:spPr>
            <a:solidFill>
              <a:schemeClr val="accent1">
                <a:lumMod val="50000"/>
              </a:schemeClr>
            </a:solidFill>
            <a:ln>
              <a:noFill/>
            </a:ln>
            <a:effectLst/>
          </c:spPr>
          <c:invertIfNegative val="0"/>
          <c:cat>
            <c:strRef>
              <c:f>'Cleaned Data'!$F$1</c:f>
              <c:strCache>
                <c:ptCount val="1"/>
                <c:pt idx="0">
                  <c:v> Volume (24) USD_cleaned </c:v>
                </c:pt>
              </c:strCache>
            </c:strRef>
          </c:cat>
          <c:val>
            <c:numRef>
              <c:f>'Cleaned Data'!$F$140</c:f>
            </c:numRef>
          </c:val>
          <c:extLst>
            <c:ext xmlns:c16="http://schemas.microsoft.com/office/drawing/2014/chart" uri="{C3380CC4-5D6E-409C-BE32-E72D297353CC}">
              <c16:uniqueId val="{0000008A-1491-467E-B9F1-75460D4C920C}"/>
            </c:ext>
          </c:extLst>
        </c:ser>
        <c:ser>
          <c:idx val="139"/>
          <c:order val="139"/>
          <c:tx>
            <c:strRef>
              <c:f>'Cleaned Data'!$A$141</c:f>
              <c:strCache>
                <c:ptCount val="1"/>
                <c:pt idx="0">
                  <c:v>Abelian</c:v>
                </c:pt>
              </c:strCache>
            </c:strRef>
          </c:tx>
          <c:spPr>
            <a:solidFill>
              <a:schemeClr val="accent2">
                <a:lumMod val="50000"/>
              </a:schemeClr>
            </a:solidFill>
            <a:ln>
              <a:noFill/>
            </a:ln>
            <a:effectLst/>
          </c:spPr>
          <c:invertIfNegative val="0"/>
          <c:cat>
            <c:strRef>
              <c:f>'Cleaned Data'!$F$1</c:f>
              <c:strCache>
                <c:ptCount val="1"/>
                <c:pt idx="0">
                  <c:v> Volume (24) USD_cleaned </c:v>
                </c:pt>
              </c:strCache>
            </c:strRef>
          </c:cat>
          <c:val>
            <c:numRef>
              <c:f>'Cleaned Data'!$F$141</c:f>
            </c:numRef>
          </c:val>
          <c:extLst>
            <c:ext xmlns:c16="http://schemas.microsoft.com/office/drawing/2014/chart" uri="{C3380CC4-5D6E-409C-BE32-E72D297353CC}">
              <c16:uniqueId val="{0000008B-1491-467E-B9F1-75460D4C920C}"/>
            </c:ext>
          </c:extLst>
        </c:ser>
        <c:ser>
          <c:idx val="140"/>
          <c:order val="140"/>
          <c:tx>
            <c:strRef>
              <c:f>'Cleaned Data'!$A$142</c:f>
              <c:strCache>
                <c:ptCount val="1"/>
                <c:pt idx="0">
                  <c:v>Electra Protocol</c:v>
                </c:pt>
              </c:strCache>
            </c:strRef>
          </c:tx>
          <c:spPr>
            <a:solidFill>
              <a:schemeClr val="accent3">
                <a:lumMod val="50000"/>
              </a:schemeClr>
            </a:solidFill>
            <a:ln>
              <a:noFill/>
            </a:ln>
            <a:effectLst/>
          </c:spPr>
          <c:invertIfNegative val="0"/>
          <c:cat>
            <c:strRef>
              <c:f>'Cleaned Data'!$F$1</c:f>
              <c:strCache>
                <c:ptCount val="1"/>
                <c:pt idx="0">
                  <c:v> Volume (24) USD_cleaned </c:v>
                </c:pt>
              </c:strCache>
            </c:strRef>
          </c:cat>
          <c:val>
            <c:numRef>
              <c:f>'Cleaned Data'!$F$142</c:f>
            </c:numRef>
          </c:val>
          <c:extLst>
            <c:ext xmlns:c16="http://schemas.microsoft.com/office/drawing/2014/chart" uri="{C3380CC4-5D6E-409C-BE32-E72D297353CC}">
              <c16:uniqueId val="{0000008C-1491-467E-B9F1-75460D4C920C}"/>
            </c:ext>
          </c:extLst>
        </c:ser>
        <c:ser>
          <c:idx val="141"/>
          <c:order val="141"/>
          <c:tx>
            <c:strRef>
              <c:f>'Cleaned Data'!$A$143</c:f>
              <c:strCache>
                <c:ptCount val="1"/>
                <c:pt idx="0">
                  <c:v>Kin</c:v>
                </c:pt>
              </c:strCache>
            </c:strRef>
          </c:tx>
          <c:spPr>
            <a:solidFill>
              <a:schemeClr val="accent4">
                <a:lumMod val="50000"/>
              </a:schemeClr>
            </a:solidFill>
            <a:ln>
              <a:noFill/>
            </a:ln>
            <a:effectLst/>
          </c:spPr>
          <c:invertIfNegative val="0"/>
          <c:cat>
            <c:strRef>
              <c:f>'Cleaned Data'!$F$1</c:f>
              <c:strCache>
                <c:ptCount val="1"/>
                <c:pt idx="0">
                  <c:v> Volume (24) USD_cleaned </c:v>
                </c:pt>
              </c:strCache>
            </c:strRef>
          </c:cat>
          <c:val>
            <c:numRef>
              <c:f>'Cleaned Data'!$F$143</c:f>
            </c:numRef>
          </c:val>
          <c:extLst>
            <c:ext xmlns:c16="http://schemas.microsoft.com/office/drawing/2014/chart" uri="{C3380CC4-5D6E-409C-BE32-E72D297353CC}">
              <c16:uniqueId val="{0000008D-1491-467E-B9F1-75460D4C920C}"/>
            </c:ext>
          </c:extLst>
        </c:ser>
        <c:ser>
          <c:idx val="142"/>
          <c:order val="142"/>
          <c:tx>
            <c:strRef>
              <c:f>'Cleaned Data'!$A$144</c:f>
              <c:strCache>
                <c:ptCount val="1"/>
                <c:pt idx="0">
                  <c:v>KiloEx</c:v>
                </c:pt>
              </c:strCache>
            </c:strRef>
          </c:tx>
          <c:spPr>
            <a:solidFill>
              <a:schemeClr val="accent5">
                <a:lumMod val="50000"/>
              </a:schemeClr>
            </a:solidFill>
            <a:ln>
              <a:noFill/>
            </a:ln>
            <a:effectLst/>
          </c:spPr>
          <c:invertIfNegative val="0"/>
          <c:cat>
            <c:strRef>
              <c:f>'Cleaned Data'!$F$1</c:f>
              <c:strCache>
                <c:ptCount val="1"/>
                <c:pt idx="0">
                  <c:v> Volume (24) USD_cleaned </c:v>
                </c:pt>
              </c:strCache>
            </c:strRef>
          </c:cat>
          <c:val>
            <c:numRef>
              <c:f>'Cleaned Data'!$F$144</c:f>
            </c:numRef>
          </c:val>
          <c:extLst>
            <c:ext xmlns:c16="http://schemas.microsoft.com/office/drawing/2014/chart" uri="{C3380CC4-5D6E-409C-BE32-E72D297353CC}">
              <c16:uniqueId val="{0000008E-1491-467E-B9F1-75460D4C920C}"/>
            </c:ext>
          </c:extLst>
        </c:ser>
        <c:ser>
          <c:idx val="143"/>
          <c:order val="143"/>
          <c:tx>
            <c:strRef>
              <c:f>'Cleaned Data'!$A$145</c:f>
              <c:strCache>
                <c:ptCount val="1"/>
                <c:pt idx="0">
                  <c:v>Privasea AI</c:v>
                </c:pt>
              </c:strCache>
            </c:strRef>
          </c:tx>
          <c:spPr>
            <a:solidFill>
              <a:schemeClr val="accent6">
                <a:lumMod val="50000"/>
              </a:schemeClr>
            </a:solidFill>
            <a:ln>
              <a:noFill/>
            </a:ln>
            <a:effectLst/>
          </c:spPr>
          <c:invertIfNegative val="0"/>
          <c:cat>
            <c:strRef>
              <c:f>'Cleaned Data'!$F$1</c:f>
              <c:strCache>
                <c:ptCount val="1"/>
                <c:pt idx="0">
                  <c:v> Volume (24) USD_cleaned </c:v>
                </c:pt>
              </c:strCache>
            </c:strRef>
          </c:cat>
          <c:val>
            <c:numRef>
              <c:f>'Cleaned Data'!$F$145</c:f>
            </c:numRef>
          </c:val>
          <c:extLst>
            <c:ext xmlns:c16="http://schemas.microsoft.com/office/drawing/2014/chart" uri="{C3380CC4-5D6E-409C-BE32-E72D297353CC}">
              <c16:uniqueId val="{0000008F-1491-467E-B9F1-75460D4C920C}"/>
            </c:ext>
          </c:extLst>
        </c:ser>
        <c:ser>
          <c:idx val="144"/>
          <c:order val="144"/>
          <c:tx>
            <c:strRef>
              <c:f>'Cleaned Data'!$A$146</c:f>
              <c:strCache>
                <c:ptCount val="1"/>
                <c:pt idx="0">
                  <c:v>MAD</c:v>
                </c:pt>
              </c:strCache>
            </c:strRef>
          </c:tx>
          <c:spPr>
            <a:solidFill>
              <a:schemeClr val="accent1">
                <a:lumMod val="70000"/>
                <a:lumOff val="30000"/>
              </a:schemeClr>
            </a:solidFill>
            <a:ln>
              <a:noFill/>
            </a:ln>
            <a:effectLst/>
          </c:spPr>
          <c:invertIfNegative val="0"/>
          <c:cat>
            <c:strRef>
              <c:f>'Cleaned Data'!$F$1</c:f>
              <c:strCache>
                <c:ptCount val="1"/>
                <c:pt idx="0">
                  <c:v> Volume (24) USD_cleaned </c:v>
                </c:pt>
              </c:strCache>
            </c:strRef>
          </c:cat>
          <c:val>
            <c:numRef>
              <c:f>'Cleaned Data'!$F$146</c:f>
            </c:numRef>
          </c:val>
          <c:extLst>
            <c:ext xmlns:c16="http://schemas.microsoft.com/office/drawing/2014/chart" uri="{C3380CC4-5D6E-409C-BE32-E72D297353CC}">
              <c16:uniqueId val="{00000090-1491-467E-B9F1-75460D4C920C}"/>
            </c:ext>
          </c:extLst>
        </c:ser>
        <c:ser>
          <c:idx val="145"/>
          <c:order val="145"/>
          <c:tx>
            <c:strRef>
              <c:f>'Cleaned Data'!$A$147</c:f>
              <c:strCache>
                <c:ptCount val="1"/>
                <c:pt idx="0">
                  <c:v>Robonomics.network</c:v>
                </c:pt>
              </c:strCache>
            </c:strRef>
          </c:tx>
          <c:spPr>
            <a:solidFill>
              <a:schemeClr val="accent2">
                <a:lumMod val="70000"/>
                <a:lumOff val="30000"/>
              </a:schemeClr>
            </a:solidFill>
            <a:ln>
              <a:noFill/>
            </a:ln>
            <a:effectLst/>
          </c:spPr>
          <c:invertIfNegative val="0"/>
          <c:cat>
            <c:strRef>
              <c:f>'Cleaned Data'!$F$1</c:f>
              <c:strCache>
                <c:ptCount val="1"/>
                <c:pt idx="0">
                  <c:v> Volume (24) USD_cleaned </c:v>
                </c:pt>
              </c:strCache>
            </c:strRef>
          </c:cat>
          <c:val>
            <c:numRef>
              <c:f>'Cleaned Data'!$F$147</c:f>
            </c:numRef>
          </c:val>
          <c:extLst>
            <c:ext xmlns:c16="http://schemas.microsoft.com/office/drawing/2014/chart" uri="{C3380CC4-5D6E-409C-BE32-E72D297353CC}">
              <c16:uniqueId val="{00000091-1491-467E-B9F1-75460D4C920C}"/>
            </c:ext>
          </c:extLst>
        </c:ser>
        <c:ser>
          <c:idx val="146"/>
          <c:order val="146"/>
          <c:tx>
            <c:strRef>
              <c:f>'Cleaned Data'!$A$148</c:f>
              <c:strCache>
                <c:ptCount val="1"/>
                <c:pt idx="0">
                  <c:v>Alitas</c:v>
                </c:pt>
              </c:strCache>
            </c:strRef>
          </c:tx>
          <c:spPr>
            <a:solidFill>
              <a:schemeClr val="accent3">
                <a:lumMod val="70000"/>
                <a:lumOff val="30000"/>
              </a:schemeClr>
            </a:solidFill>
            <a:ln>
              <a:noFill/>
            </a:ln>
            <a:effectLst/>
          </c:spPr>
          <c:invertIfNegative val="0"/>
          <c:cat>
            <c:strRef>
              <c:f>'Cleaned Data'!$F$1</c:f>
              <c:strCache>
                <c:ptCount val="1"/>
                <c:pt idx="0">
                  <c:v> Volume (24) USD_cleaned </c:v>
                </c:pt>
              </c:strCache>
            </c:strRef>
          </c:cat>
          <c:val>
            <c:numRef>
              <c:f>'Cleaned Data'!$F$148</c:f>
            </c:numRef>
          </c:val>
          <c:extLst>
            <c:ext xmlns:c16="http://schemas.microsoft.com/office/drawing/2014/chart" uri="{C3380CC4-5D6E-409C-BE32-E72D297353CC}">
              <c16:uniqueId val="{00000092-1491-467E-B9F1-75460D4C920C}"/>
            </c:ext>
          </c:extLst>
        </c:ser>
        <c:ser>
          <c:idx val="147"/>
          <c:order val="147"/>
          <c:tx>
            <c:strRef>
              <c:f>'Cleaned Data'!$A$149</c:f>
              <c:strCache>
                <c:ptCount val="1"/>
                <c:pt idx="0">
                  <c:v>Bytecoin</c:v>
                </c:pt>
              </c:strCache>
            </c:strRef>
          </c:tx>
          <c:spPr>
            <a:solidFill>
              <a:schemeClr val="accent4">
                <a:lumMod val="70000"/>
                <a:lumOff val="30000"/>
              </a:schemeClr>
            </a:solidFill>
            <a:ln>
              <a:noFill/>
            </a:ln>
            <a:effectLst/>
          </c:spPr>
          <c:invertIfNegative val="0"/>
          <c:cat>
            <c:strRef>
              <c:f>'Cleaned Data'!$F$1</c:f>
              <c:strCache>
                <c:ptCount val="1"/>
                <c:pt idx="0">
                  <c:v> Volume (24) USD_cleaned </c:v>
                </c:pt>
              </c:strCache>
            </c:strRef>
          </c:cat>
          <c:val>
            <c:numRef>
              <c:f>'Cleaned Data'!$F$149</c:f>
            </c:numRef>
          </c:val>
          <c:extLst>
            <c:ext xmlns:c16="http://schemas.microsoft.com/office/drawing/2014/chart" uri="{C3380CC4-5D6E-409C-BE32-E72D297353CC}">
              <c16:uniqueId val="{00000093-1491-467E-B9F1-75460D4C920C}"/>
            </c:ext>
          </c:extLst>
        </c:ser>
        <c:ser>
          <c:idx val="148"/>
          <c:order val="148"/>
          <c:tx>
            <c:strRef>
              <c:f>'Cleaned Data'!$A$150</c:f>
              <c:strCache>
                <c:ptCount val="1"/>
                <c:pt idx="0">
                  <c:v>Morpheus.Network</c:v>
                </c:pt>
              </c:strCache>
            </c:strRef>
          </c:tx>
          <c:spPr>
            <a:solidFill>
              <a:schemeClr val="accent5">
                <a:lumMod val="70000"/>
                <a:lumOff val="30000"/>
              </a:schemeClr>
            </a:solidFill>
            <a:ln>
              <a:noFill/>
            </a:ln>
            <a:effectLst/>
          </c:spPr>
          <c:invertIfNegative val="0"/>
          <c:cat>
            <c:strRef>
              <c:f>'Cleaned Data'!$F$1</c:f>
              <c:strCache>
                <c:ptCount val="1"/>
                <c:pt idx="0">
                  <c:v> Volume (24) USD_cleaned </c:v>
                </c:pt>
              </c:strCache>
            </c:strRef>
          </c:cat>
          <c:val>
            <c:numRef>
              <c:f>'Cleaned Data'!$F$150</c:f>
            </c:numRef>
          </c:val>
          <c:extLst>
            <c:ext xmlns:c16="http://schemas.microsoft.com/office/drawing/2014/chart" uri="{C3380CC4-5D6E-409C-BE32-E72D297353CC}">
              <c16:uniqueId val="{00000094-1491-467E-B9F1-75460D4C920C}"/>
            </c:ext>
          </c:extLst>
        </c:ser>
        <c:ser>
          <c:idx val="149"/>
          <c:order val="149"/>
          <c:tx>
            <c:strRef>
              <c:f>'Cleaned Data'!$A$151</c:f>
              <c:strCache>
                <c:ptCount val="1"/>
                <c:pt idx="0">
                  <c:v>WELF</c:v>
                </c:pt>
              </c:strCache>
            </c:strRef>
          </c:tx>
          <c:spPr>
            <a:solidFill>
              <a:schemeClr val="accent6">
                <a:lumMod val="70000"/>
                <a:lumOff val="30000"/>
              </a:schemeClr>
            </a:solidFill>
            <a:ln>
              <a:noFill/>
            </a:ln>
            <a:effectLst/>
          </c:spPr>
          <c:invertIfNegative val="0"/>
          <c:cat>
            <c:strRef>
              <c:f>'Cleaned Data'!$F$1</c:f>
              <c:strCache>
                <c:ptCount val="1"/>
                <c:pt idx="0">
                  <c:v> Volume (24) USD_cleaned </c:v>
                </c:pt>
              </c:strCache>
            </c:strRef>
          </c:cat>
          <c:val>
            <c:numRef>
              <c:f>'Cleaned Data'!$F$151</c:f>
            </c:numRef>
          </c:val>
          <c:extLst>
            <c:ext xmlns:c16="http://schemas.microsoft.com/office/drawing/2014/chart" uri="{C3380CC4-5D6E-409C-BE32-E72D297353CC}">
              <c16:uniqueId val="{00000095-1491-467E-B9F1-75460D4C920C}"/>
            </c:ext>
          </c:extLst>
        </c:ser>
        <c:ser>
          <c:idx val="150"/>
          <c:order val="150"/>
          <c:tx>
            <c:strRef>
              <c:f>'Cleaned Data'!$A$152</c:f>
              <c:strCache>
                <c:ptCount val="1"/>
                <c:pt idx="0">
                  <c:v>Cypherium</c:v>
                </c:pt>
              </c:strCache>
            </c:strRef>
          </c:tx>
          <c:spPr>
            <a:solidFill>
              <a:schemeClr val="accent1">
                <a:lumMod val="70000"/>
              </a:schemeClr>
            </a:solidFill>
            <a:ln>
              <a:noFill/>
            </a:ln>
            <a:effectLst/>
          </c:spPr>
          <c:invertIfNegative val="0"/>
          <c:cat>
            <c:strRef>
              <c:f>'Cleaned Data'!$F$1</c:f>
              <c:strCache>
                <c:ptCount val="1"/>
                <c:pt idx="0">
                  <c:v> Volume (24) USD_cleaned </c:v>
                </c:pt>
              </c:strCache>
            </c:strRef>
          </c:cat>
          <c:val>
            <c:numRef>
              <c:f>'Cleaned Data'!$F$152</c:f>
            </c:numRef>
          </c:val>
          <c:extLst>
            <c:ext xmlns:c16="http://schemas.microsoft.com/office/drawing/2014/chart" uri="{C3380CC4-5D6E-409C-BE32-E72D297353CC}">
              <c16:uniqueId val="{00000096-1491-467E-B9F1-75460D4C920C}"/>
            </c:ext>
          </c:extLst>
        </c:ser>
        <c:ser>
          <c:idx val="151"/>
          <c:order val="151"/>
          <c:tx>
            <c:strRef>
              <c:f>'Cleaned Data'!$A$153</c:f>
              <c:strCache>
                <c:ptCount val="1"/>
                <c:pt idx="0">
                  <c:v>Dingocoin</c:v>
                </c:pt>
              </c:strCache>
            </c:strRef>
          </c:tx>
          <c:spPr>
            <a:solidFill>
              <a:schemeClr val="accent2">
                <a:lumMod val="70000"/>
              </a:schemeClr>
            </a:solidFill>
            <a:ln>
              <a:noFill/>
            </a:ln>
            <a:effectLst/>
          </c:spPr>
          <c:invertIfNegative val="0"/>
          <c:cat>
            <c:strRef>
              <c:f>'Cleaned Data'!$F$1</c:f>
              <c:strCache>
                <c:ptCount val="1"/>
                <c:pt idx="0">
                  <c:v> Volume (24) USD_cleaned </c:v>
                </c:pt>
              </c:strCache>
            </c:strRef>
          </c:cat>
          <c:val>
            <c:numRef>
              <c:f>'Cleaned Data'!$F$153</c:f>
            </c:numRef>
          </c:val>
          <c:extLst>
            <c:ext xmlns:c16="http://schemas.microsoft.com/office/drawing/2014/chart" uri="{C3380CC4-5D6E-409C-BE32-E72D297353CC}">
              <c16:uniqueId val="{00000097-1491-467E-B9F1-75460D4C920C}"/>
            </c:ext>
          </c:extLst>
        </c:ser>
        <c:ser>
          <c:idx val="152"/>
          <c:order val="152"/>
          <c:tx>
            <c:strRef>
              <c:f>'Cleaned Data'!$A$154</c:f>
              <c:strCache>
                <c:ptCount val="1"/>
                <c:pt idx="0">
                  <c:v>IBStoken</c:v>
                </c:pt>
              </c:strCache>
            </c:strRef>
          </c:tx>
          <c:spPr>
            <a:solidFill>
              <a:schemeClr val="accent3">
                <a:lumMod val="70000"/>
              </a:schemeClr>
            </a:solidFill>
            <a:ln>
              <a:noFill/>
            </a:ln>
            <a:effectLst/>
          </c:spPr>
          <c:invertIfNegative val="0"/>
          <c:cat>
            <c:strRef>
              <c:f>'Cleaned Data'!$F$1</c:f>
              <c:strCache>
                <c:ptCount val="1"/>
                <c:pt idx="0">
                  <c:v> Volume (24) USD_cleaned </c:v>
                </c:pt>
              </c:strCache>
            </c:strRef>
          </c:cat>
          <c:val>
            <c:numRef>
              <c:f>'Cleaned Data'!$F$154</c:f>
            </c:numRef>
          </c:val>
          <c:extLst>
            <c:ext xmlns:c16="http://schemas.microsoft.com/office/drawing/2014/chart" uri="{C3380CC4-5D6E-409C-BE32-E72D297353CC}">
              <c16:uniqueId val="{00000098-1491-467E-B9F1-75460D4C920C}"/>
            </c:ext>
          </c:extLst>
        </c:ser>
        <c:ser>
          <c:idx val="153"/>
          <c:order val="153"/>
          <c:tx>
            <c:strRef>
              <c:f>'Cleaned Data'!$A$155</c:f>
              <c:strCache>
                <c:ptCount val="1"/>
                <c:pt idx="0">
                  <c:v>AIT Protocol</c:v>
                </c:pt>
              </c:strCache>
            </c:strRef>
          </c:tx>
          <c:spPr>
            <a:solidFill>
              <a:schemeClr val="accent4">
                <a:lumMod val="70000"/>
              </a:schemeClr>
            </a:solidFill>
            <a:ln>
              <a:noFill/>
            </a:ln>
            <a:effectLst/>
          </c:spPr>
          <c:invertIfNegative val="0"/>
          <c:cat>
            <c:strRef>
              <c:f>'Cleaned Data'!$F$1</c:f>
              <c:strCache>
                <c:ptCount val="1"/>
                <c:pt idx="0">
                  <c:v> Volume (24) USD_cleaned </c:v>
                </c:pt>
              </c:strCache>
            </c:strRef>
          </c:cat>
          <c:val>
            <c:numRef>
              <c:f>'Cleaned Data'!$F$155</c:f>
            </c:numRef>
          </c:val>
          <c:extLst>
            <c:ext xmlns:c16="http://schemas.microsoft.com/office/drawing/2014/chart" uri="{C3380CC4-5D6E-409C-BE32-E72D297353CC}">
              <c16:uniqueId val="{00000099-1491-467E-B9F1-75460D4C920C}"/>
            </c:ext>
          </c:extLst>
        </c:ser>
        <c:ser>
          <c:idx val="154"/>
          <c:order val="154"/>
          <c:tx>
            <c:strRef>
              <c:f>'Cleaned Data'!$A$156</c:f>
              <c:strCache>
                <c:ptCount val="1"/>
                <c:pt idx="0">
                  <c:v>Bitcoin 2</c:v>
                </c:pt>
              </c:strCache>
            </c:strRef>
          </c:tx>
          <c:spPr>
            <a:solidFill>
              <a:schemeClr val="accent5">
                <a:lumMod val="70000"/>
              </a:schemeClr>
            </a:solidFill>
            <a:ln>
              <a:noFill/>
            </a:ln>
            <a:effectLst/>
          </c:spPr>
          <c:invertIfNegative val="0"/>
          <c:cat>
            <c:strRef>
              <c:f>'Cleaned Data'!$F$1</c:f>
              <c:strCache>
                <c:ptCount val="1"/>
                <c:pt idx="0">
                  <c:v> Volume (24) USD_cleaned </c:v>
                </c:pt>
              </c:strCache>
            </c:strRef>
          </c:cat>
          <c:val>
            <c:numRef>
              <c:f>'Cleaned Data'!$F$156</c:f>
            </c:numRef>
          </c:val>
          <c:extLst>
            <c:ext xmlns:c16="http://schemas.microsoft.com/office/drawing/2014/chart" uri="{C3380CC4-5D6E-409C-BE32-E72D297353CC}">
              <c16:uniqueId val="{0000009A-1491-467E-B9F1-75460D4C920C}"/>
            </c:ext>
          </c:extLst>
        </c:ser>
        <c:ser>
          <c:idx val="155"/>
          <c:order val="155"/>
          <c:tx>
            <c:strRef>
              <c:f>'Cleaned Data'!$A$157</c:f>
              <c:strCache>
                <c:ptCount val="1"/>
                <c:pt idx="0">
                  <c:v>OmniFlix Network</c:v>
                </c:pt>
              </c:strCache>
            </c:strRef>
          </c:tx>
          <c:spPr>
            <a:solidFill>
              <a:schemeClr val="accent6">
                <a:lumMod val="70000"/>
              </a:schemeClr>
            </a:solidFill>
            <a:ln>
              <a:noFill/>
            </a:ln>
            <a:effectLst/>
          </c:spPr>
          <c:invertIfNegative val="0"/>
          <c:cat>
            <c:strRef>
              <c:f>'Cleaned Data'!$F$1</c:f>
              <c:strCache>
                <c:ptCount val="1"/>
                <c:pt idx="0">
                  <c:v> Volume (24) USD_cleaned </c:v>
                </c:pt>
              </c:strCache>
            </c:strRef>
          </c:cat>
          <c:val>
            <c:numRef>
              <c:f>'Cleaned Data'!$F$157</c:f>
            </c:numRef>
          </c:val>
          <c:extLst>
            <c:ext xmlns:c16="http://schemas.microsoft.com/office/drawing/2014/chart" uri="{C3380CC4-5D6E-409C-BE32-E72D297353CC}">
              <c16:uniqueId val="{0000009B-1491-467E-B9F1-75460D4C920C}"/>
            </c:ext>
          </c:extLst>
        </c:ser>
        <c:ser>
          <c:idx val="156"/>
          <c:order val="156"/>
          <c:tx>
            <c:strRef>
              <c:f>'Cleaned Data'!$A$158</c:f>
              <c:strCache>
                <c:ptCount val="1"/>
                <c:pt idx="0">
                  <c:v>TRVL (Dtravel)</c:v>
                </c:pt>
              </c:strCache>
            </c:strRef>
          </c:tx>
          <c:spPr>
            <a:solidFill>
              <a:schemeClr val="accent1">
                <a:lumMod val="50000"/>
                <a:lumOff val="50000"/>
              </a:schemeClr>
            </a:solidFill>
            <a:ln>
              <a:noFill/>
            </a:ln>
            <a:effectLst/>
          </c:spPr>
          <c:invertIfNegative val="0"/>
          <c:cat>
            <c:strRef>
              <c:f>'Cleaned Data'!$F$1</c:f>
              <c:strCache>
                <c:ptCount val="1"/>
                <c:pt idx="0">
                  <c:v> Volume (24) USD_cleaned </c:v>
                </c:pt>
              </c:strCache>
            </c:strRef>
          </c:cat>
          <c:val>
            <c:numRef>
              <c:f>'Cleaned Data'!$F$158</c:f>
            </c:numRef>
          </c:val>
          <c:extLst>
            <c:ext xmlns:c16="http://schemas.microsoft.com/office/drawing/2014/chart" uri="{C3380CC4-5D6E-409C-BE32-E72D297353CC}">
              <c16:uniqueId val="{0000009C-1491-467E-B9F1-75460D4C920C}"/>
            </c:ext>
          </c:extLst>
        </c:ser>
        <c:ser>
          <c:idx val="157"/>
          <c:order val="157"/>
          <c:tx>
            <c:strRef>
              <c:f>'Cleaned Data'!$A$159</c:f>
              <c:strCache>
                <c:ptCount val="1"/>
                <c:pt idx="0">
                  <c:v>DeBox</c:v>
                </c:pt>
              </c:strCache>
            </c:strRef>
          </c:tx>
          <c:spPr>
            <a:solidFill>
              <a:schemeClr val="accent2">
                <a:lumMod val="50000"/>
                <a:lumOff val="50000"/>
              </a:schemeClr>
            </a:solidFill>
            <a:ln>
              <a:noFill/>
            </a:ln>
            <a:effectLst/>
          </c:spPr>
          <c:invertIfNegative val="0"/>
          <c:cat>
            <c:strRef>
              <c:f>'Cleaned Data'!$F$1</c:f>
              <c:strCache>
                <c:ptCount val="1"/>
                <c:pt idx="0">
                  <c:v> Volume (24) USD_cleaned </c:v>
                </c:pt>
              </c:strCache>
            </c:strRef>
          </c:cat>
          <c:val>
            <c:numRef>
              <c:f>'Cleaned Data'!$F$159</c:f>
            </c:numRef>
          </c:val>
          <c:extLst>
            <c:ext xmlns:c16="http://schemas.microsoft.com/office/drawing/2014/chart" uri="{C3380CC4-5D6E-409C-BE32-E72D297353CC}">
              <c16:uniqueId val="{0000009D-1491-467E-B9F1-75460D4C920C}"/>
            </c:ext>
          </c:extLst>
        </c:ser>
        <c:ser>
          <c:idx val="158"/>
          <c:order val="158"/>
          <c:tx>
            <c:strRef>
              <c:f>'Cleaned Data'!$A$160</c:f>
              <c:strCache>
                <c:ptCount val="1"/>
                <c:pt idx="0">
                  <c:v>Akita Inu</c:v>
                </c:pt>
              </c:strCache>
            </c:strRef>
          </c:tx>
          <c:spPr>
            <a:solidFill>
              <a:schemeClr val="accent3">
                <a:lumMod val="50000"/>
                <a:lumOff val="50000"/>
              </a:schemeClr>
            </a:solidFill>
            <a:ln>
              <a:noFill/>
            </a:ln>
            <a:effectLst/>
          </c:spPr>
          <c:invertIfNegative val="0"/>
          <c:cat>
            <c:strRef>
              <c:f>'Cleaned Data'!$F$1</c:f>
              <c:strCache>
                <c:ptCount val="1"/>
                <c:pt idx="0">
                  <c:v> Volume (24) USD_cleaned </c:v>
                </c:pt>
              </c:strCache>
            </c:strRef>
          </c:cat>
          <c:val>
            <c:numRef>
              <c:f>'Cleaned Data'!$F$160</c:f>
            </c:numRef>
          </c:val>
          <c:extLst>
            <c:ext xmlns:c16="http://schemas.microsoft.com/office/drawing/2014/chart" uri="{C3380CC4-5D6E-409C-BE32-E72D297353CC}">
              <c16:uniqueId val="{0000009E-1491-467E-B9F1-75460D4C920C}"/>
            </c:ext>
          </c:extLst>
        </c:ser>
        <c:ser>
          <c:idx val="159"/>
          <c:order val="159"/>
          <c:tx>
            <c:strRef>
              <c:f>'Cleaned Data'!$A$161</c:f>
              <c:strCache>
                <c:ptCount val="1"/>
                <c:pt idx="0">
                  <c:v>Hive Intelligence</c:v>
                </c:pt>
              </c:strCache>
            </c:strRef>
          </c:tx>
          <c:spPr>
            <a:solidFill>
              <a:schemeClr val="accent4">
                <a:lumMod val="50000"/>
                <a:lumOff val="50000"/>
              </a:schemeClr>
            </a:solidFill>
            <a:ln>
              <a:noFill/>
            </a:ln>
            <a:effectLst/>
          </c:spPr>
          <c:invertIfNegative val="0"/>
          <c:cat>
            <c:strRef>
              <c:f>'Cleaned Data'!$F$1</c:f>
              <c:strCache>
                <c:ptCount val="1"/>
                <c:pt idx="0">
                  <c:v> Volume (24) USD_cleaned </c:v>
                </c:pt>
              </c:strCache>
            </c:strRef>
          </c:cat>
          <c:val>
            <c:numRef>
              <c:f>'Cleaned Data'!$F$161</c:f>
            </c:numRef>
          </c:val>
          <c:extLst>
            <c:ext xmlns:c16="http://schemas.microsoft.com/office/drawing/2014/chart" uri="{C3380CC4-5D6E-409C-BE32-E72D297353CC}">
              <c16:uniqueId val="{0000009F-1491-467E-B9F1-75460D4C920C}"/>
            </c:ext>
          </c:extLst>
        </c:ser>
        <c:ser>
          <c:idx val="160"/>
          <c:order val="160"/>
          <c:tx>
            <c:strRef>
              <c:f>'Cleaned Data'!$A$162</c:f>
              <c:strCache>
                <c:ptCount val="1"/>
                <c:pt idx="0">
                  <c:v>Sentio AI</c:v>
                </c:pt>
              </c:strCache>
            </c:strRef>
          </c:tx>
          <c:spPr>
            <a:solidFill>
              <a:schemeClr val="accent5">
                <a:lumMod val="50000"/>
                <a:lumOff val="50000"/>
              </a:schemeClr>
            </a:solidFill>
            <a:ln>
              <a:noFill/>
            </a:ln>
            <a:effectLst/>
          </c:spPr>
          <c:invertIfNegative val="0"/>
          <c:cat>
            <c:strRef>
              <c:f>'Cleaned Data'!$F$1</c:f>
              <c:strCache>
                <c:ptCount val="1"/>
                <c:pt idx="0">
                  <c:v> Volume (24) USD_cleaned </c:v>
                </c:pt>
              </c:strCache>
            </c:strRef>
          </c:cat>
          <c:val>
            <c:numRef>
              <c:f>'Cleaned Data'!$F$162</c:f>
            </c:numRef>
          </c:val>
          <c:extLst>
            <c:ext xmlns:c16="http://schemas.microsoft.com/office/drawing/2014/chart" uri="{C3380CC4-5D6E-409C-BE32-E72D297353CC}">
              <c16:uniqueId val="{000000A0-1491-467E-B9F1-75460D4C920C}"/>
            </c:ext>
          </c:extLst>
        </c:ser>
        <c:ser>
          <c:idx val="161"/>
          <c:order val="161"/>
          <c:tx>
            <c:strRef>
              <c:f>'Cleaned Data'!$A$163</c:f>
              <c:strCache>
                <c:ptCount val="1"/>
                <c:pt idx="0">
                  <c:v>Sylo</c:v>
                </c:pt>
              </c:strCache>
            </c:strRef>
          </c:tx>
          <c:spPr>
            <a:solidFill>
              <a:schemeClr val="accent6">
                <a:lumMod val="50000"/>
                <a:lumOff val="50000"/>
              </a:schemeClr>
            </a:solidFill>
            <a:ln>
              <a:noFill/>
            </a:ln>
            <a:effectLst/>
          </c:spPr>
          <c:invertIfNegative val="0"/>
          <c:cat>
            <c:strRef>
              <c:f>'Cleaned Data'!$F$1</c:f>
              <c:strCache>
                <c:ptCount val="1"/>
                <c:pt idx="0">
                  <c:v> Volume (24) USD_cleaned </c:v>
                </c:pt>
              </c:strCache>
            </c:strRef>
          </c:cat>
          <c:val>
            <c:numRef>
              <c:f>'Cleaned Data'!$F$163</c:f>
            </c:numRef>
          </c:val>
          <c:extLst>
            <c:ext xmlns:c16="http://schemas.microsoft.com/office/drawing/2014/chart" uri="{C3380CC4-5D6E-409C-BE32-E72D297353CC}">
              <c16:uniqueId val="{000000A1-1491-467E-B9F1-75460D4C920C}"/>
            </c:ext>
          </c:extLst>
        </c:ser>
        <c:ser>
          <c:idx val="162"/>
          <c:order val="162"/>
          <c:tx>
            <c:strRef>
              <c:f>'Cleaned Data'!$A$164</c:f>
              <c:strCache>
                <c:ptCount val="1"/>
                <c:pt idx="0">
                  <c:v>PornRocket</c:v>
                </c:pt>
              </c:strCache>
            </c:strRef>
          </c:tx>
          <c:spPr>
            <a:solidFill>
              <a:schemeClr val="accent1"/>
            </a:solidFill>
            <a:ln>
              <a:noFill/>
            </a:ln>
            <a:effectLst/>
          </c:spPr>
          <c:invertIfNegative val="0"/>
          <c:cat>
            <c:strRef>
              <c:f>'Cleaned Data'!$F$1</c:f>
              <c:strCache>
                <c:ptCount val="1"/>
                <c:pt idx="0">
                  <c:v> Volume (24) USD_cleaned </c:v>
                </c:pt>
              </c:strCache>
            </c:strRef>
          </c:cat>
          <c:val>
            <c:numRef>
              <c:f>'Cleaned Data'!$F$164</c:f>
            </c:numRef>
          </c:val>
          <c:extLst>
            <c:ext xmlns:c16="http://schemas.microsoft.com/office/drawing/2014/chart" uri="{C3380CC4-5D6E-409C-BE32-E72D297353CC}">
              <c16:uniqueId val="{000000A2-1491-467E-B9F1-75460D4C920C}"/>
            </c:ext>
          </c:extLst>
        </c:ser>
        <c:ser>
          <c:idx val="163"/>
          <c:order val="163"/>
          <c:tx>
            <c:strRef>
              <c:f>'Cleaned Data'!$A$165</c:f>
              <c:strCache>
                <c:ptCount val="1"/>
                <c:pt idx="0">
                  <c:v>FNCY</c:v>
                </c:pt>
              </c:strCache>
            </c:strRef>
          </c:tx>
          <c:spPr>
            <a:solidFill>
              <a:schemeClr val="accent2"/>
            </a:solidFill>
            <a:ln>
              <a:noFill/>
            </a:ln>
            <a:effectLst/>
          </c:spPr>
          <c:invertIfNegative val="0"/>
          <c:cat>
            <c:strRef>
              <c:f>'Cleaned Data'!$F$1</c:f>
              <c:strCache>
                <c:ptCount val="1"/>
                <c:pt idx="0">
                  <c:v> Volume (24) USD_cleaned </c:v>
                </c:pt>
              </c:strCache>
            </c:strRef>
          </c:cat>
          <c:val>
            <c:numRef>
              <c:f>'Cleaned Data'!$F$165</c:f>
            </c:numRef>
          </c:val>
          <c:extLst>
            <c:ext xmlns:c16="http://schemas.microsoft.com/office/drawing/2014/chart" uri="{C3380CC4-5D6E-409C-BE32-E72D297353CC}">
              <c16:uniqueId val="{000000A3-1491-467E-B9F1-75460D4C920C}"/>
            </c:ext>
          </c:extLst>
        </c:ser>
        <c:ser>
          <c:idx val="164"/>
          <c:order val="164"/>
          <c:tx>
            <c:strRef>
              <c:f>'Cleaned Data'!$A$166</c:f>
              <c:strCache>
                <c:ptCount val="1"/>
                <c:pt idx="0">
                  <c:v>Hoge Finance</c:v>
                </c:pt>
              </c:strCache>
            </c:strRef>
          </c:tx>
          <c:spPr>
            <a:solidFill>
              <a:schemeClr val="accent3"/>
            </a:solidFill>
            <a:ln>
              <a:noFill/>
            </a:ln>
            <a:effectLst/>
          </c:spPr>
          <c:invertIfNegative val="0"/>
          <c:cat>
            <c:strRef>
              <c:f>'Cleaned Data'!$F$1</c:f>
              <c:strCache>
                <c:ptCount val="1"/>
                <c:pt idx="0">
                  <c:v> Volume (24) USD_cleaned </c:v>
                </c:pt>
              </c:strCache>
            </c:strRef>
          </c:cat>
          <c:val>
            <c:numRef>
              <c:f>'Cleaned Data'!$F$166</c:f>
            </c:numRef>
          </c:val>
          <c:extLst>
            <c:ext xmlns:c16="http://schemas.microsoft.com/office/drawing/2014/chart" uri="{C3380CC4-5D6E-409C-BE32-E72D297353CC}">
              <c16:uniqueId val="{000000A4-1491-467E-B9F1-75460D4C920C}"/>
            </c:ext>
          </c:extLst>
        </c:ser>
        <c:ser>
          <c:idx val="165"/>
          <c:order val="165"/>
          <c:tx>
            <c:strRef>
              <c:f>'Cleaned Data'!$A$167</c:f>
              <c:strCache>
                <c:ptCount val="1"/>
                <c:pt idx="0">
                  <c:v>Big Data Protocol</c:v>
                </c:pt>
              </c:strCache>
            </c:strRef>
          </c:tx>
          <c:spPr>
            <a:solidFill>
              <a:schemeClr val="accent4"/>
            </a:solidFill>
            <a:ln>
              <a:noFill/>
            </a:ln>
            <a:effectLst/>
          </c:spPr>
          <c:invertIfNegative val="0"/>
          <c:cat>
            <c:strRef>
              <c:f>'Cleaned Data'!$F$1</c:f>
              <c:strCache>
                <c:ptCount val="1"/>
                <c:pt idx="0">
                  <c:v> Volume (24) USD_cleaned </c:v>
                </c:pt>
              </c:strCache>
            </c:strRef>
          </c:cat>
          <c:val>
            <c:numRef>
              <c:f>'Cleaned Data'!$F$167</c:f>
            </c:numRef>
          </c:val>
          <c:extLst>
            <c:ext xmlns:c16="http://schemas.microsoft.com/office/drawing/2014/chart" uri="{C3380CC4-5D6E-409C-BE32-E72D297353CC}">
              <c16:uniqueId val="{000000A5-1491-467E-B9F1-75460D4C920C}"/>
            </c:ext>
          </c:extLst>
        </c:ser>
        <c:ser>
          <c:idx val="166"/>
          <c:order val="166"/>
          <c:tx>
            <c:strRef>
              <c:f>'Cleaned Data'!$A$168</c:f>
              <c:strCache>
                <c:ptCount val="1"/>
                <c:pt idx="0">
                  <c:v>Byte</c:v>
                </c:pt>
              </c:strCache>
            </c:strRef>
          </c:tx>
          <c:spPr>
            <a:solidFill>
              <a:schemeClr val="accent5"/>
            </a:solidFill>
            <a:ln>
              <a:noFill/>
            </a:ln>
            <a:effectLst/>
          </c:spPr>
          <c:invertIfNegative val="0"/>
          <c:cat>
            <c:strRef>
              <c:f>'Cleaned Data'!$F$1</c:f>
              <c:strCache>
                <c:ptCount val="1"/>
                <c:pt idx="0">
                  <c:v> Volume (24) USD_cleaned </c:v>
                </c:pt>
              </c:strCache>
            </c:strRef>
          </c:cat>
          <c:val>
            <c:numRef>
              <c:f>'Cleaned Data'!$F$168</c:f>
            </c:numRef>
          </c:val>
          <c:extLst>
            <c:ext xmlns:c16="http://schemas.microsoft.com/office/drawing/2014/chart" uri="{C3380CC4-5D6E-409C-BE32-E72D297353CC}">
              <c16:uniqueId val="{000000A6-1491-467E-B9F1-75460D4C920C}"/>
            </c:ext>
          </c:extLst>
        </c:ser>
        <c:ser>
          <c:idx val="167"/>
          <c:order val="167"/>
          <c:tx>
            <c:strRef>
              <c:f>'Cleaned Data'!$A$169</c:f>
              <c:strCache>
                <c:ptCount val="1"/>
                <c:pt idx="0">
                  <c:v>Universe Boss Coin</c:v>
                </c:pt>
              </c:strCache>
            </c:strRef>
          </c:tx>
          <c:spPr>
            <a:solidFill>
              <a:schemeClr val="accent6"/>
            </a:solidFill>
            <a:ln>
              <a:noFill/>
            </a:ln>
            <a:effectLst/>
          </c:spPr>
          <c:invertIfNegative val="0"/>
          <c:cat>
            <c:strRef>
              <c:f>'Cleaned Data'!$F$1</c:f>
              <c:strCache>
                <c:ptCount val="1"/>
                <c:pt idx="0">
                  <c:v> Volume (24) USD_cleaned </c:v>
                </c:pt>
              </c:strCache>
            </c:strRef>
          </c:cat>
          <c:val>
            <c:numRef>
              <c:f>'Cleaned Data'!$F$169</c:f>
            </c:numRef>
          </c:val>
          <c:extLst>
            <c:ext xmlns:c16="http://schemas.microsoft.com/office/drawing/2014/chart" uri="{C3380CC4-5D6E-409C-BE32-E72D297353CC}">
              <c16:uniqueId val="{000000A7-1491-467E-B9F1-75460D4C920C}"/>
            </c:ext>
          </c:extLst>
        </c:ser>
        <c:ser>
          <c:idx val="168"/>
          <c:order val="168"/>
          <c:tx>
            <c:strRef>
              <c:f>'Cleaned Data'!$A$170</c:f>
              <c:strCache>
                <c:ptCount val="1"/>
                <c:pt idx="0">
                  <c:v>ADAMANT Messenger</c:v>
                </c:pt>
              </c:strCache>
            </c:strRef>
          </c:tx>
          <c:spPr>
            <a:solidFill>
              <a:schemeClr val="accent1">
                <a:lumMod val="60000"/>
              </a:schemeClr>
            </a:solidFill>
            <a:ln>
              <a:noFill/>
            </a:ln>
            <a:effectLst/>
          </c:spPr>
          <c:invertIfNegative val="0"/>
          <c:cat>
            <c:strRef>
              <c:f>'Cleaned Data'!$F$1</c:f>
              <c:strCache>
                <c:ptCount val="1"/>
                <c:pt idx="0">
                  <c:v> Volume (24) USD_cleaned </c:v>
                </c:pt>
              </c:strCache>
            </c:strRef>
          </c:cat>
          <c:val>
            <c:numRef>
              <c:f>'Cleaned Data'!$F$170</c:f>
            </c:numRef>
          </c:val>
          <c:extLst>
            <c:ext xmlns:c16="http://schemas.microsoft.com/office/drawing/2014/chart" uri="{C3380CC4-5D6E-409C-BE32-E72D297353CC}">
              <c16:uniqueId val="{000000A8-1491-467E-B9F1-75460D4C920C}"/>
            </c:ext>
          </c:extLst>
        </c:ser>
        <c:ser>
          <c:idx val="169"/>
          <c:order val="169"/>
          <c:tx>
            <c:strRef>
              <c:f>'Cleaned Data'!$A$171</c:f>
              <c:strCache>
                <c:ptCount val="1"/>
                <c:pt idx="0">
                  <c:v>CHADETTE</c:v>
                </c:pt>
              </c:strCache>
            </c:strRef>
          </c:tx>
          <c:spPr>
            <a:solidFill>
              <a:schemeClr val="accent2">
                <a:lumMod val="60000"/>
              </a:schemeClr>
            </a:solidFill>
            <a:ln>
              <a:noFill/>
            </a:ln>
            <a:effectLst/>
          </c:spPr>
          <c:invertIfNegative val="0"/>
          <c:cat>
            <c:strRef>
              <c:f>'Cleaned Data'!$F$1</c:f>
              <c:strCache>
                <c:ptCount val="1"/>
                <c:pt idx="0">
                  <c:v> Volume (24) USD_cleaned </c:v>
                </c:pt>
              </c:strCache>
            </c:strRef>
          </c:cat>
          <c:val>
            <c:numRef>
              <c:f>'Cleaned Data'!$F$171</c:f>
            </c:numRef>
          </c:val>
          <c:extLst>
            <c:ext xmlns:c16="http://schemas.microsoft.com/office/drawing/2014/chart" uri="{C3380CC4-5D6E-409C-BE32-E72D297353CC}">
              <c16:uniqueId val="{000000A9-1491-467E-B9F1-75460D4C920C}"/>
            </c:ext>
          </c:extLst>
        </c:ser>
        <c:ser>
          <c:idx val="170"/>
          <c:order val="170"/>
          <c:tx>
            <c:strRef>
              <c:f>'Cleaned Data'!$A$172</c:f>
              <c:strCache>
                <c:ptCount val="1"/>
                <c:pt idx="0">
                  <c:v>NULS</c:v>
                </c:pt>
              </c:strCache>
            </c:strRef>
          </c:tx>
          <c:spPr>
            <a:solidFill>
              <a:schemeClr val="accent3">
                <a:lumMod val="60000"/>
              </a:schemeClr>
            </a:solidFill>
            <a:ln>
              <a:noFill/>
            </a:ln>
            <a:effectLst/>
          </c:spPr>
          <c:invertIfNegative val="0"/>
          <c:cat>
            <c:strRef>
              <c:f>'Cleaned Data'!$F$1</c:f>
              <c:strCache>
                <c:ptCount val="1"/>
                <c:pt idx="0">
                  <c:v> Volume (24) USD_cleaned </c:v>
                </c:pt>
              </c:strCache>
            </c:strRef>
          </c:cat>
          <c:val>
            <c:numRef>
              <c:f>'Cleaned Data'!$F$172</c:f>
            </c:numRef>
          </c:val>
          <c:extLst>
            <c:ext xmlns:c16="http://schemas.microsoft.com/office/drawing/2014/chart" uri="{C3380CC4-5D6E-409C-BE32-E72D297353CC}">
              <c16:uniqueId val="{000000AA-1491-467E-B9F1-75460D4C920C}"/>
            </c:ext>
          </c:extLst>
        </c:ser>
        <c:ser>
          <c:idx val="171"/>
          <c:order val="171"/>
          <c:tx>
            <c:strRef>
              <c:f>'Cleaned Data'!$A$173</c:f>
              <c:strCache>
                <c:ptCount val="1"/>
                <c:pt idx="0">
                  <c:v>Quq</c:v>
                </c:pt>
              </c:strCache>
            </c:strRef>
          </c:tx>
          <c:spPr>
            <a:solidFill>
              <a:schemeClr val="accent4">
                <a:lumMod val="60000"/>
              </a:schemeClr>
            </a:solidFill>
            <a:ln>
              <a:noFill/>
            </a:ln>
            <a:effectLst/>
          </c:spPr>
          <c:invertIfNegative val="0"/>
          <c:cat>
            <c:strRef>
              <c:f>'Cleaned Data'!$F$1</c:f>
              <c:strCache>
                <c:ptCount val="1"/>
                <c:pt idx="0">
                  <c:v> Volume (24) USD_cleaned </c:v>
                </c:pt>
              </c:strCache>
            </c:strRef>
          </c:cat>
          <c:val>
            <c:numRef>
              <c:f>'Cleaned Data'!$F$173</c:f>
            </c:numRef>
          </c:val>
          <c:extLst>
            <c:ext xmlns:c16="http://schemas.microsoft.com/office/drawing/2014/chart" uri="{C3380CC4-5D6E-409C-BE32-E72D297353CC}">
              <c16:uniqueId val="{000000AB-1491-467E-B9F1-75460D4C920C}"/>
            </c:ext>
          </c:extLst>
        </c:ser>
        <c:ser>
          <c:idx val="172"/>
          <c:order val="172"/>
          <c:tx>
            <c:strRef>
              <c:f>'Cleaned Data'!$A$174</c:f>
              <c:strCache>
                <c:ptCount val="1"/>
                <c:pt idx="0">
                  <c:v>RigoBlock</c:v>
                </c:pt>
              </c:strCache>
            </c:strRef>
          </c:tx>
          <c:spPr>
            <a:solidFill>
              <a:schemeClr val="accent5">
                <a:lumMod val="60000"/>
              </a:schemeClr>
            </a:solidFill>
            <a:ln>
              <a:noFill/>
            </a:ln>
            <a:effectLst/>
          </c:spPr>
          <c:invertIfNegative val="0"/>
          <c:cat>
            <c:strRef>
              <c:f>'Cleaned Data'!$F$1</c:f>
              <c:strCache>
                <c:ptCount val="1"/>
                <c:pt idx="0">
                  <c:v> Volume (24) USD_cleaned </c:v>
                </c:pt>
              </c:strCache>
            </c:strRef>
          </c:cat>
          <c:val>
            <c:numRef>
              <c:f>'Cleaned Data'!$F$174</c:f>
            </c:numRef>
          </c:val>
          <c:extLst>
            <c:ext xmlns:c16="http://schemas.microsoft.com/office/drawing/2014/chart" uri="{C3380CC4-5D6E-409C-BE32-E72D297353CC}">
              <c16:uniqueId val="{000000AC-1491-467E-B9F1-75460D4C920C}"/>
            </c:ext>
          </c:extLst>
        </c:ser>
        <c:ser>
          <c:idx val="173"/>
          <c:order val="173"/>
          <c:tx>
            <c:strRef>
              <c:f>'Cleaned Data'!$A$175</c:f>
              <c:strCache>
                <c:ptCount val="1"/>
                <c:pt idx="0">
                  <c:v>LEGIT</c:v>
                </c:pt>
              </c:strCache>
            </c:strRef>
          </c:tx>
          <c:spPr>
            <a:solidFill>
              <a:schemeClr val="accent6">
                <a:lumMod val="60000"/>
              </a:schemeClr>
            </a:solidFill>
            <a:ln>
              <a:noFill/>
            </a:ln>
            <a:effectLst/>
          </c:spPr>
          <c:invertIfNegative val="0"/>
          <c:cat>
            <c:strRef>
              <c:f>'Cleaned Data'!$F$1</c:f>
              <c:strCache>
                <c:ptCount val="1"/>
                <c:pt idx="0">
                  <c:v> Volume (24) USD_cleaned </c:v>
                </c:pt>
              </c:strCache>
            </c:strRef>
          </c:cat>
          <c:val>
            <c:numRef>
              <c:f>'Cleaned Data'!$F$175</c:f>
            </c:numRef>
          </c:val>
          <c:extLst>
            <c:ext xmlns:c16="http://schemas.microsoft.com/office/drawing/2014/chart" uri="{C3380CC4-5D6E-409C-BE32-E72D297353CC}">
              <c16:uniqueId val="{000000AD-1491-467E-B9F1-75460D4C920C}"/>
            </c:ext>
          </c:extLst>
        </c:ser>
        <c:ser>
          <c:idx val="174"/>
          <c:order val="174"/>
          <c:tx>
            <c:strRef>
              <c:f>'Cleaned Data'!$A$176</c:f>
              <c:strCache>
                <c:ptCount val="1"/>
                <c:pt idx="0">
                  <c:v>Super Zero Protocol</c:v>
                </c:pt>
              </c:strCache>
            </c:strRef>
          </c:tx>
          <c:spPr>
            <a:solidFill>
              <a:schemeClr val="accent1">
                <a:lumMod val="80000"/>
                <a:lumOff val="20000"/>
              </a:schemeClr>
            </a:solidFill>
            <a:ln>
              <a:noFill/>
            </a:ln>
            <a:effectLst/>
          </c:spPr>
          <c:invertIfNegative val="0"/>
          <c:cat>
            <c:strRef>
              <c:f>'Cleaned Data'!$F$1</c:f>
              <c:strCache>
                <c:ptCount val="1"/>
                <c:pt idx="0">
                  <c:v> Volume (24) USD_cleaned </c:v>
                </c:pt>
              </c:strCache>
            </c:strRef>
          </c:cat>
          <c:val>
            <c:numRef>
              <c:f>'Cleaned Data'!$F$176</c:f>
            </c:numRef>
          </c:val>
          <c:extLst>
            <c:ext xmlns:c16="http://schemas.microsoft.com/office/drawing/2014/chart" uri="{C3380CC4-5D6E-409C-BE32-E72D297353CC}">
              <c16:uniqueId val="{000000AE-1491-467E-B9F1-75460D4C920C}"/>
            </c:ext>
          </c:extLst>
        </c:ser>
        <c:ser>
          <c:idx val="175"/>
          <c:order val="175"/>
          <c:tx>
            <c:strRef>
              <c:f>'Cleaned Data'!$A$177</c:f>
              <c:strCache>
                <c:ptCount val="1"/>
                <c:pt idx="0">
                  <c:v>Letit</c:v>
                </c:pt>
              </c:strCache>
            </c:strRef>
          </c:tx>
          <c:spPr>
            <a:solidFill>
              <a:schemeClr val="accent2">
                <a:lumMod val="80000"/>
                <a:lumOff val="20000"/>
              </a:schemeClr>
            </a:solidFill>
            <a:ln>
              <a:noFill/>
            </a:ln>
            <a:effectLst/>
          </c:spPr>
          <c:invertIfNegative val="0"/>
          <c:cat>
            <c:strRef>
              <c:f>'Cleaned Data'!$F$1</c:f>
              <c:strCache>
                <c:ptCount val="1"/>
                <c:pt idx="0">
                  <c:v> Volume (24) USD_cleaned </c:v>
                </c:pt>
              </c:strCache>
            </c:strRef>
          </c:cat>
          <c:val>
            <c:numRef>
              <c:f>'Cleaned Data'!$F$177</c:f>
            </c:numRef>
          </c:val>
          <c:extLst>
            <c:ext xmlns:c16="http://schemas.microsoft.com/office/drawing/2014/chart" uri="{C3380CC4-5D6E-409C-BE32-E72D297353CC}">
              <c16:uniqueId val="{000000AF-1491-467E-B9F1-75460D4C920C}"/>
            </c:ext>
          </c:extLst>
        </c:ser>
        <c:ser>
          <c:idx val="176"/>
          <c:order val="176"/>
          <c:tx>
            <c:strRef>
              <c:f>'Cleaned Data'!$A$178</c:f>
              <c:strCache>
                <c:ptCount val="1"/>
                <c:pt idx="0">
                  <c:v>GoChain</c:v>
                </c:pt>
              </c:strCache>
            </c:strRef>
          </c:tx>
          <c:spPr>
            <a:solidFill>
              <a:schemeClr val="accent3">
                <a:lumMod val="80000"/>
                <a:lumOff val="20000"/>
              </a:schemeClr>
            </a:solidFill>
            <a:ln>
              <a:noFill/>
            </a:ln>
            <a:effectLst/>
          </c:spPr>
          <c:invertIfNegative val="0"/>
          <c:cat>
            <c:strRef>
              <c:f>'Cleaned Data'!$F$1</c:f>
              <c:strCache>
                <c:ptCount val="1"/>
                <c:pt idx="0">
                  <c:v> Volume (24) USD_cleaned </c:v>
                </c:pt>
              </c:strCache>
            </c:strRef>
          </c:cat>
          <c:val>
            <c:numRef>
              <c:f>'Cleaned Data'!$F$178</c:f>
            </c:numRef>
          </c:val>
          <c:extLst>
            <c:ext xmlns:c16="http://schemas.microsoft.com/office/drawing/2014/chart" uri="{C3380CC4-5D6E-409C-BE32-E72D297353CC}">
              <c16:uniqueId val="{000000B0-1491-467E-B9F1-75460D4C920C}"/>
            </c:ext>
          </c:extLst>
        </c:ser>
        <c:ser>
          <c:idx val="177"/>
          <c:order val="177"/>
          <c:tx>
            <c:strRef>
              <c:f>'Cleaned Data'!$A$179</c:f>
              <c:strCache>
                <c:ptCount val="1"/>
                <c:pt idx="0">
                  <c:v>BlackCardCoin</c:v>
                </c:pt>
              </c:strCache>
            </c:strRef>
          </c:tx>
          <c:spPr>
            <a:solidFill>
              <a:schemeClr val="accent4">
                <a:lumMod val="80000"/>
                <a:lumOff val="20000"/>
              </a:schemeClr>
            </a:solidFill>
            <a:ln>
              <a:noFill/>
            </a:ln>
            <a:effectLst/>
          </c:spPr>
          <c:invertIfNegative val="0"/>
          <c:cat>
            <c:strRef>
              <c:f>'Cleaned Data'!$F$1</c:f>
              <c:strCache>
                <c:ptCount val="1"/>
                <c:pt idx="0">
                  <c:v> Volume (24) USD_cleaned </c:v>
                </c:pt>
              </c:strCache>
            </c:strRef>
          </c:cat>
          <c:val>
            <c:numRef>
              <c:f>'Cleaned Data'!$F$179</c:f>
            </c:numRef>
          </c:val>
          <c:extLst>
            <c:ext xmlns:c16="http://schemas.microsoft.com/office/drawing/2014/chart" uri="{C3380CC4-5D6E-409C-BE32-E72D297353CC}">
              <c16:uniqueId val="{000000B1-1491-467E-B9F1-75460D4C920C}"/>
            </c:ext>
          </c:extLst>
        </c:ser>
        <c:ser>
          <c:idx val="178"/>
          <c:order val="178"/>
          <c:tx>
            <c:strRef>
              <c:f>'Cleaned Data'!$A$180</c:f>
              <c:strCache>
                <c:ptCount val="1"/>
                <c:pt idx="0">
                  <c:v>Habibi</c:v>
                </c:pt>
              </c:strCache>
            </c:strRef>
          </c:tx>
          <c:spPr>
            <a:solidFill>
              <a:schemeClr val="accent5">
                <a:lumMod val="80000"/>
                <a:lumOff val="20000"/>
              </a:schemeClr>
            </a:solidFill>
            <a:ln>
              <a:noFill/>
            </a:ln>
            <a:effectLst/>
          </c:spPr>
          <c:invertIfNegative val="0"/>
          <c:cat>
            <c:strRef>
              <c:f>'Cleaned Data'!$F$1</c:f>
              <c:strCache>
                <c:ptCount val="1"/>
                <c:pt idx="0">
                  <c:v> Volume (24) USD_cleaned </c:v>
                </c:pt>
              </c:strCache>
            </c:strRef>
          </c:cat>
          <c:val>
            <c:numRef>
              <c:f>'Cleaned Data'!$F$180</c:f>
            </c:numRef>
          </c:val>
          <c:extLst>
            <c:ext xmlns:c16="http://schemas.microsoft.com/office/drawing/2014/chart" uri="{C3380CC4-5D6E-409C-BE32-E72D297353CC}">
              <c16:uniqueId val="{000000B2-1491-467E-B9F1-75460D4C920C}"/>
            </c:ext>
          </c:extLst>
        </c:ser>
        <c:ser>
          <c:idx val="179"/>
          <c:order val="179"/>
          <c:tx>
            <c:strRef>
              <c:f>'Cleaned Data'!$A$181</c:f>
              <c:strCache>
                <c:ptCount val="1"/>
                <c:pt idx="0">
                  <c:v>Striker League</c:v>
                </c:pt>
              </c:strCache>
            </c:strRef>
          </c:tx>
          <c:spPr>
            <a:solidFill>
              <a:schemeClr val="accent6">
                <a:lumMod val="80000"/>
                <a:lumOff val="20000"/>
              </a:schemeClr>
            </a:solidFill>
            <a:ln>
              <a:noFill/>
            </a:ln>
            <a:effectLst/>
          </c:spPr>
          <c:invertIfNegative val="0"/>
          <c:cat>
            <c:strRef>
              <c:f>'Cleaned Data'!$F$1</c:f>
              <c:strCache>
                <c:ptCount val="1"/>
                <c:pt idx="0">
                  <c:v> Volume (24) USD_cleaned </c:v>
                </c:pt>
              </c:strCache>
            </c:strRef>
          </c:cat>
          <c:val>
            <c:numRef>
              <c:f>'Cleaned Data'!$F$181</c:f>
            </c:numRef>
          </c:val>
          <c:extLst>
            <c:ext xmlns:c16="http://schemas.microsoft.com/office/drawing/2014/chart" uri="{C3380CC4-5D6E-409C-BE32-E72D297353CC}">
              <c16:uniqueId val="{000000B3-1491-467E-B9F1-75460D4C920C}"/>
            </c:ext>
          </c:extLst>
        </c:ser>
        <c:ser>
          <c:idx val="180"/>
          <c:order val="180"/>
          <c:tx>
            <c:strRef>
              <c:f>'Cleaned Data'!$A$182</c:f>
              <c:strCache>
                <c:ptCount val="1"/>
                <c:pt idx="0">
                  <c:v>Ctrl Wallet</c:v>
                </c:pt>
              </c:strCache>
            </c:strRef>
          </c:tx>
          <c:spPr>
            <a:solidFill>
              <a:schemeClr val="accent1">
                <a:lumMod val="80000"/>
              </a:schemeClr>
            </a:solidFill>
            <a:ln>
              <a:noFill/>
            </a:ln>
            <a:effectLst/>
          </c:spPr>
          <c:invertIfNegative val="0"/>
          <c:cat>
            <c:strRef>
              <c:f>'Cleaned Data'!$F$1</c:f>
              <c:strCache>
                <c:ptCount val="1"/>
                <c:pt idx="0">
                  <c:v> Volume (24) USD_cleaned </c:v>
                </c:pt>
              </c:strCache>
            </c:strRef>
          </c:cat>
          <c:val>
            <c:numRef>
              <c:f>'Cleaned Data'!$F$182</c:f>
            </c:numRef>
          </c:val>
          <c:extLst>
            <c:ext xmlns:c16="http://schemas.microsoft.com/office/drawing/2014/chart" uri="{C3380CC4-5D6E-409C-BE32-E72D297353CC}">
              <c16:uniqueId val="{000000B4-1491-467E-B9F1-75460D4C920C}"/>
            </c:ext>
          </c:extLst>
        </c:ser>
        <c:ser>
          <c:idx val="181"/>
          <c:order val="181"/>
          <c:tx>
            <c:strRef>
              <c:f>'Cleaned Data'!$A$183</c:f>
              <c:strCache>
                <c:ptCount val="1"/>
                <c:pt idx="0">
                  <c:v>Etherisc DIP Token</c:v>
                </c:pt>
              </c:strCache>
            </c:strRef>
          </c:tx>
          <c:spPr>
            <a:solidFill>
              <a:schemeClr val="accent2">
                <a:lumMod val="80000"/>
              </a:schemeClr>
            </a:solidFill>
            <a:ln>
              <a:noFill/>
            </a:ln>
            <a:effectLst/>
          </c:spPr>
          <c:invertIfNegative val="0"/>
          <c:cat>
            <c:strRef>
              <c:f>'Cleaned Data'!$F$1</c:f>
              <c:strCache>
                <c:ptCount val="1"/>
                <c:pt idx="0">
                  <c:v> Volume (24) USD_cleaned </c:v>
                </c:pt>
              </c:strCache>
            </c:strRef>
          </c:cat>
          <c:val>
            <c:numRef>
              <c:f>'Cleaned Data'!$F$183</c:f>
            </c:numRef>
          </c:val>
          <c:extLst>
            <c:ext xmlns:c16="http://schemas.microsoft.com/office/drawing/2014/chart" uri="{C3380CC4-5D6E-409C-BE32-E72D297353CC}">
              <c16:uniqueId val="{000000B5-1491-467E-B9F1-75460D4C920C}"/>
            </c:ext>
          </c:extLst>
        </c:ser>
        <c:ser>
          <c:idx val="182"/>
          <c:order val="182"/>
          <c:tx>
            <c:strRef>
              <c:f>'Cleaned Data'!$A$184</c:f>
              <c:strCache>
                <c:ptCount val="1"/>
                <c:pt idx="0">
                  <c:v>Rubic</c:v>
                </c:pt>
              </c:strCache>
            </c:strRef>
          </c:tx>
          <c:spPr>
            <a:solidFill>
              <a:schemeClr val="accent3">
                <a:lumMod val="80000"/>
              </a:schemeClr>
            </a:solidFill>
            <a:ln>
              <a:noFill/>
            </a:ln>
            <a:effectLst/>
          </c:spPr>
          <c:invertIfNegative val="0"/>
          <c:cat>
            <c:strRef>
              <c:f>'Cleaned Data'!$F$1</c:f>
              <c:strCache>
                <c:ptCount val="1"/>
                <c:pt idx="0">
                  <c:v> Volume (24) USD_cleaned </c:v>
                </c:pt>
              </c:strCache>
            </c:strRef>
          </c:cat>
          <c:val>
            <c:numRef>
              <c:f>'Cleaned Data'!$F$184</c:f>
            </c:numRef>
          </c:val>
          <c:extLst>
            <c:ext xmlns:c16="http://schemas.microsoft.com/office/drawing/2014/chart" uri="{C3380CC4-5D6E-409C-BE32-E72D297353CC}">
              <c16:uniqueId val="{000000B6-1491-467E-B9F1-75460D4C920C}"/>
            </c:ext>
          </c:extLst>
        </c:ser>
        <c:ser>
          <c:idx val="183"/>
          <c:order val="183"/>
          <c:tx>
            <c:strRef>
              <c:f>'Cleaned Data'!$A$185</c:f>
              <c:strCache>
                <c:ptCount val="1"/>
                <c:pt idx="0">
                  <c:v>BizAuto</c:v>
                </c:pt>
              </c:strCache>
            </c:strRef>
          </c:tx>
          <c:spPr>
            <a:solidFill>
              <a:schemeClr val="accent4">
                <a:lumMod val="80000"/>
              </a:schemeClr>
            </a:solidFill>
            <a:ln>
              <a:noFill/>
            </a:ln>
            <a:effectLst/>
          </c:spPr>
          <c:invertIfNegative val="0"/>
          <c:cat>
            <c:strRef>
              <c:f>'Cleaned Data'!$F$1</c:f>
              <c:strCache>
                <c:ptCount val="1"/>
                <c:pt idx="0">
                  <c:v> Volume (24) USD_cleaned </c:v>
                </c:pt>
              </c:strCache>
            </c:strRef>
          </c:cat>
          <c:val>
            <c:numRef>
              <c:f>'Cleaned Data'!$F$185</c:f>
            </c:numRef>
          </c:val>
          <c:extLst>
            <c:ext xmlns:c16="http://schemas.microsoft.com/office/drawing/2014/chart" uri="{C3380CC4-5D6E-409C-BE32-E72D297353CC}">
              <c16:uniqueId val="{000000B7-1491-467E-B9F1-75460D4C920C}"/>
            </c:ext>
          </c:extLst>
        </c:ser>
        <c:ser>
          <c:idx val="184"/>
          <c:order val="184"/>
          <c:tx>
            <c:strRef>
              <c:f>'Cleaned Data'!$A$186</c:f>
              <c:strCache>
                <c:ptCount val="1"/>
                <c:pt idx="0">
                  <c:v>BIGFACTS</c:v>
                </c:pt>
              </c:strCache>
            </c:strRef>
          </c:tx>
          <c:spPr>
            <a:solidFill>
              <a:schemeClr val="accent5">
                <a:lumMod val="80000"/>
              </a:schemeClr>
            </a:solidFill>
            <a:ln>
              <a:noFill/>
            </a:ln>
            <a:effectLst/>
          </c:spPr>
          <c:invertIfNegative val="0"/>
          <c:cat>
            <c:strRef>
              <c:f>'Cleaned Data'!$F$1</c:f>
              <c:strCache>
                <c:ptCount val="1"/>
                <c:pt idx="0">
                  <c:v> Volume (24) USD_cleaned </c:v>
                </c:pt>
              </c:strCache>
            </c:strRef>
          </c:cat>
          <c:val>
            <c:numRef>
              <c:f>'Cleaned Data'!$F$186</c:f>
            </c:numRef>
          </c:val>
          <c:extLst>
            <c:ext xmlns:c16="http://schemas.microsoft.com/office/drawing/2014/chart" uri="{C3380CC4-5D6E-409C-BE32-E72D297353CC}">
              <c16:uniqueId val="{000000B8-1491-467E-B9F1-75460D4C920C}"/>
            </c:ext>
          </c:extLst>
        </c:ser>
        <c:ser>
          <c:idx val="185"/>
          <c:order val="185"/>
          <c:tx>
            <c:strRef>
              <c:f>'Cleaned Data'!$A$187</c:f>
              <c:strCache>
                <c:ptCount val="1"/>
                <c:pt idx="0">
                  <c:v>Didi Bam Bam</c:v>
                </c:pt>
              </c:strCache>
            </c:strRef>
          </c:tx>
          <c:spPr>
            <a:solidFill>
              <a:schemeClr val="accent6">
                <a:lumMod val="80000"/>
              </a:schemeClr>
            </a:solidFill>
            <a:ln>
              <a:noFill/>
            </a:ln>
            <a:effectLst/>
          </c:spPr>
          <c:invertIfNegative val="0"/>
          <c:cat>
            <c:strRef>
              <c:f>'Cleaned Data'!$F$1</c:f>
              <c:strCache>
                <c:ptCount val="1"/>
                <c:pt idx="0">
                  <c:v> Volume (24) USD_cleaned </c:v>
                </c:pt>
              </c:strCache>
            </c:strRef>
          </c:cat>
          <c:val>
            <c:numRef>
              <c:f>'Cleaned Data'!$F$187</c:f>
            </c:numRef>
          </c:val>
          <c:extLst>
            <c:ext xmlns:c16="http://schemas.microsoft.com/office/drawing/2014/chart" uri="{C3380CC4-5D6E-409C-BE32-E72D297353CC}">
              <c16:uniqueId val="{000000B9-1491-467E-B9F1-75460D4C920C}"/>
            </c:ext>
          </c:extLst>
        </c:ser>
        <c:ser>
          <c:idx val="186"/>
          <c:order val="186"/>
          <c:tx>
            <c:strRef>
              <c:f>'Cleaned Data'!$A$188</c:f>
              <c:strCache>
                <c:ptCount val="1"/>
                <c:pt idx="0">
                  <c:v>Rebel Cars</c:v>
                </c:pt>
              </c:strCache>
            </c:strRef>
          </c:tx>
          <c:spPr>
            <a:solidFill>
              <a:schemeClr val="accent1">
                <a:lumMod val="60000"/>
                <a:lumOff val="40000"/>
              </a:schemeClr>
            </a:solidFill>
            <a:ln>
              <a:noFill/>
            </a:ln>
            <a:effectLst/>
          </c:spPr>
          <c:invertIfNegative val="0"/>
          <c:cat>
            <c:strRef>
              <c:f>'Cleaned Data'!$F$1</c:f>
              <c:strCache>
                <c:ptCount val="1"/>
                <c:pt idx="0">
                  <c:v> Volume (24) USD_cleaned </c:v>
                </c:pt>
              </c:strCache>
            </c:strRef>
          </c:cat>
          <c:val>
            <c:numRef>
              <c:f>'Cleaned Data'!$F$188</c:f>
            </c:numRef>
          </c:val>
          <c:extLst>
            <c:ext xmlns:c16="http://schemas.microsoft.com/office/drawing/2014/chart" uri="{C3380CC4-5D6E-409C-BE32-E72D297353CC}">
              <c16:uniqueId val="{000000BA-1491-467E-B9F1-75460D4C920C}"/>
            </c:ext>
          </c:extLst>
        </c:ser>
        <c:ser>
          <c:idx val="187"/>
          <c:order val="187"/>
          <c:tx>
            <c:strRef>
              <c:f>'Cleaned Data'!$A$189</c:f>
              <c:strCache>
                <c:ptCount val="1"/>
                <c:pt idx="0">
                  <c:v>Vulcan Forged (LAVA)</c:v>
                </c:pt>
              </c:strCache>
            </c:strRef>
          </c:tx>
          <c:spPr>
            <a:solidFill>
              <a:schemeClr val="accent2">
                <a:lumMod val="60000"/>
                <a:lumOff val="40000"/>
              </a:schemeClr>
            </a:solidFill>
            <a:ln>
              <a:noFill/>
            </a:ln>
            <a:effectLst/>
          </c:spPr>
          <c:invertIfNegative val="0"/>
          <c:cat>
            <c:strRef>
              <c:f>'Cleaned Data'!$F$1</c:f>
              <c:strCache>
                <c:ptCount val="1"/>
                <c:pt idx="0">
                  <c:v> Volume (24) USD_cleaned </c:v>
                </c:pt>
              </c:strCache>
            </c:strRef>
          </c:cat>
          <c:val>
            <c:numRef>
              <c:f>'Cleaned Data'!$F$189</c:f>
            </c:numRef>
          </c:val>
          <c:extLst>
            <c:ext xmlns:c16="http://schemas.microsoft.com/office/drawing/2014/chart" uri="{C3380CC4-5D6E-409C-BE32-E72D297353CC}">
              <c16:uniqueId val="{000000BB-1491-467E-B9F1-75460D4C920C}"/>
            </c:ext>
          </c:extLst>
        </c:ser>
        <c:ser>
          <c:idx val="188"/>
          <c:order val="188"/>
          <c:tx>
            <c:strRef>
              <c:f>'Cleaned Data'!$A$190</c:f>
              <c:strCache>
                <c:ptCount val="1"/>
                <c:pt idx="0">
                  <c:v>DeHub</c:v>
                </c:pt>
              </c:strCache>
            </c:strRef>
          </c:tx>
          <c:spPr>
            <a:solidFill>
              <a:schemeClr val="accent3">
                <a:lumMod val="60000"/>
                <a:lumOff val="40000"/>
              </a:schemeClr>
            </a:solidFill>
            <a:ln>
              <a:noFill/>
            </a:ln>
            <a:effectLst/>
          </c:spPr>
          <c:invertIfNegative val="0"/>
          <c:cat>
            <c:strRef>
              <c:f>'Cleaned Data'!$F$1</c:f>
              <c:strCache>
                <c:ptCount val="1"/>
                <c:pt idx="0">
                  <c:v> Volume (24) USD_cleaned </c:v>
                </c:pt>
              </c:strCache>
            </c:strRef>
          </c:cat>
          <c:val>
            <c:numRef>
              <c:f>'Cleaned Data'!$F$190</c:f>
            </c:numRef>
          </c:val>
          <c:extLst>
            <c:ext xmlns:c16="http://schemas.microsoft.com/office/drawing/2014/chart" uri="{C3380CC4-5D6E-409C-BE32-E72D297353CC}">
              <c16:uniqueId val="{000000BC-1491-467E-B9F1-75460D4C920C}"/>
            </c:ext>
          </c:extLst>
        </c:ser>
        <c:ser>
          <c:idx val="189"/>
          <c:order val="189"/>
          <c:tx>
            <c:strRef>
              <c:f>'Cleaned Data'!$A$191</c:f>
              <c:strCache>
                <c:ptCount val="1"/>
                <c:pt idx="0">
                  <c:v>Mubarakah</c:v>
                </c:pt>
              </c:strCache>
            </c:strRef>
          </c:tx>
          <c:spPr>
            <a:solidFill>
              <a:schemeClr val="accent4">
                <a:lumMod val="60000"/>
                <a:lumOff val="40000"/>
              </a:schemeClr>
            </a:solidFill>
            <a:ln>
              <a:noFill/>
            </a:ln>
            <a:effectLst/>
          </c:spPr>
          <c:invertIfNegative val="0"/>
          <c:cat>
            <c:strRef>
              <c:f>'Cleaned Data'!$F$1</c:f>
              <c:strCache>
                <c:ptCount val="1"/>
                <c:pt idx="0">
                  <c:v> Volume (24) USD_cleaned </c:v>
                </c:pt>
              </c:strCache>
            </c:strRef>
          </c:cat>
          <c:val>
            <c:numRef>
              <c:f>'Cleaned Data'!$F$191</c:f>
            </c:numRef>
          </c:val>
          <c:extLst>
            <c:ext xmlns:c16="http://schemas.microsoft.com/office/drawing/2014/chart" uri="{C3380CC4-5D6E-409C-BE32-E72D297353CC}">
              <c16:uniqueId val="{000000BD-1491-467E-B9F1-75460D4C920C}"/>
            </c:ext>
          </c:extLst>
        </c:ser>
        <c:ser>
          <c:idx val="190"/>
          <c:order val="190"/>
          <c:tx>
            <c:strRef>
              <c:f>'Cleaned Data'!$A$192</c:f>
              <c:strCache>
                <c:ptCount val="1"/>
                <c:pt idx="0">
                  <c:v>TOWER</c:v>
                </c:pt>
              </c:strCache>
            </c:strRef>
          </c:tx>
          <c:spPr>
            <a:solidFill>
              <a:schemeClr val="accent5">
                <a:lumMod val="60000"/>
                <a:lumOff val="40000"/>
              </a:schemeClr>
            </a:solidFill>
            <a:ln>
              <a:noFill/>
            </a:ln>
            <a:effectLst/>
          </c:spPr>
          <c:invertIfNegative val="0"/>
          <c:cat>
            <c:strRef>
              <c:f>'Cleaned Data'!$F$1</c:f>
              <c:strCache>
                <c:ptCount val="1"/>
                <c:pt idx="0">
                  <c:v> Volume (24) USD_cleaned </c:v>
                </c:pt>
              </c:strCache>
            </c:strRef>
          </c:cat>
          <c:val>
            <c:numRef>
              <c:f>'Cleaned Data'!$F$192</c:f>
            </c:numRef>
          </c:val>
          <c:extLst>
            <c:ext xmlns:c16="http://schemas.microsoft.com/office/drawing/2014/chart" uri="{C3380CC4-5D6E-409C-BE32-E72D297353CC}">
              <c16:uniqueId val="{000000BE-1491-467E-B9F1-75460D4C920C}"/>
            </c:ext>
          </c:extLst>
        </c:ser>
        <c:ser>
          <c:idx val="191"/>
          <c:order val="191"/>
          <c:tx>
            <c:strRef>
              <c:f>'Cleaned Data'!$A$193</c:f>
              <c:strCache>
                <c:ptCount val="1"/>
                <c:pt idx="0">
                  <c:v>Octokn</c:v>
                </c:pt>
              </c:strCache>
            </c:strRef>
          </c:tx>
          <c:spPr>
            <a:solidFill>
              <a:schemeClr val="accent6">
                <a:lumMod val="60000"/>
                <a:lumOff val="40000"/>
              </a:schemeClr>
            </a:solidFill>
            <a:ln>
              <a:noFill/>
            </a:ln>
            <a:effectLst/>
          </c:spPr>
          <c:invertIfNegative val="0"/>
          <c:cat>
            <c:strRef>
              <c:f>'Cleaned Data'!$F$1</c:f>
              <c:strCache>
                <c:ptCount val="1"/>
                <c:pt idx="0">
                  <c:v> Volume (24) USD_cleaned </c:v>
                </c:pt>
              </c:strCache>
            </c:strRef>
          </c:cat>
          <c:val>
            <c:numRef>
              <c:f>'Cleaned Data'!$F$193</c:f>
            </c:numRef>
          </c:val>
          <c:extLst>
            <c:ext xmlns:c16="http://schemas.microsoft.com/office/drawing/2014/chart" uri="{C3380CC4-5D6E-409C-BE32-E72D297353CC}">
              <c16:uniqueId val="{000000BF-1491-467E-B9F1-75460D4C920C}"/>
            </c:ext>
          </c:extLst>
        </c:ser>
        <c:ser>
          <c:idx val="192"/>
          <c:order val="192"/>
          <c:tx>
            <c:strRef>
              <c:f>'Cleaned Data'!$A$194</c:f>
              <c:strCache>
                <c:ptCount val="1"/>
                <c:pt idx="0">
                  <c:v>StarSlax</c:v>
                </c:pt>
              </c:strCache>
            </c:strRef>
          </c:tx>
          <c:spPr>
            <a:solidFill>
              <a:schemeClr val="accent1">
                <a:lumMod val="50000"/>
              </a:schemeClr>
            </a:solidFill>
            <a:ln>
              <a:noFill/>
            </a:ln>
            <a:effectLst/>
          </c:spPr>
          <c:invertIfNegative val="0"/>
          <c:cat>
            <c:strRef>
              <c:f>'Cleaned Data'!$F$1</c:f>
              <c:strCache>
                <c:ptCount val="1"/>
                <c:pt idx="0">
                  <c:v> Volume (24) USD_cleaned </c:v>
                </c:pt>
              </c:strCache>
            </c:strRef>
          </c:cat>
          <c:val>
            <c:numRef>
              <c:f>'Cleaned Data'!$F$194</c:f>
            </c:numRef>
          </c:val>
          <c:extLst>
            <c:ext xmlns:c16="http://schemas.microsoft.com/office/drawing/2014/chart" uri="{C3380CC4-5D6E-409C-BE32-E72D297353CC}">
              <c16:uniqueId val="{000000C0-1491-467E-B9F1-75460D4C920C}"/>
            </c:ext>
          </c:extLst>
        </c:ser>
        <c:ser>
          <c:idx val="193"/>
          <c:order val="193"/>
          <c:tx>
            <c:strRef>
              <c:f>'Cleaned Data'!$A$195</c:f>
              <c:strCache>
                <c:ptCount val="1"/>
                <c:pt idx="0">
                  <c:v>Ertha</c:v>
                </c:pt>
              </c:strCache>
            </c:strRef>
          </c:tx>
          <c:spPr>
            <a:solidFill>
              <a:schemeClr val="accent2">
                <a:lumMod val="50000"/>
              </a:schemeClr>
            </a:solidFill>
            <a:ln>
              <a:noFill/>
            </a:ln>
            <a:effectLst/>
          </c:spPr>
          <c:invertIfNegative val="0"/>
          <c:cat>
            <c:strRef>
              <c:f>'Cleaned Data'!$F$1</c:f>
              <c:strCache>
                <c:ptCount val="1"/>
                <c:pt idx="0">
                  <c:v> Volume (24) USD_cleaned </c:v>
                </c:pt>
              </c:strCache>
            </c:strRef>
          </c:cat>
          <c:val>
            <c:numRef>
              <c:f>'Cleaned Data'!$F$195</c:f>
            </c:numRef>
          </c:val>
          <c:extLst>
            <c:ext xmlns:c16="http://schemas.microsoft.com/office/drawing/2014/chart" uri="{C3380CC4-5D6E-409C-BE32-E72D297353CC}">
              <c16:uniqueId val="{000000C1-1491-467E-B9F1-75460D4C920C}"/>
            </c:ext>
          </c:extLst>
        </c:ser>
        <c:ser>
          <c:idx val="194"/>
          <c:order val="194"/>
          <c:tx>
            <c:strRef>
              <c:f>'Cleaned Data'!$A$196</c:f>
              <c:strCache>
                <c:ptCount val="1"/>
                <c:pt idx="0">
                  <c:v>SafeCoin</c:v>
                </c:pt>
              </c:strCache>
            </c:strRef>
          </c:tx>
          <c:spPr>
            <a:solidFill>
              <a:schemeClr val="accent3">
                <a:lumMod val="50000"/>
              </a:schemeClr>
            </a:solidFill>
            <a:ln>
              <a:noFill/>
            </a:ln>
            <a:effectLst/>
          </c:spPr>
          <c:invertIfNegative val="0"/>
          <c:cat>
            <c:strRef>
              <c:f>'Cleaned Data'!$F$1</c:f>
              <c:strCache>
                <c:ptCount val="1"/>
                <c:pt idx="0">
                  <c:v> Volume (24) USD_cleaned </c:v>
                </c:pt>
              </c:strCache>
            </c:strRef>
          </c:cat>
          <c:val>
            <c:numRef>
              <c:f>'Cleaned Data'!$F$196</c:f>
            </c:numRef>
          </c:val>
          <c:extLst>
            <c:ext xmlns:c16="http://schemas.microsoft.com/office/drawing/2014/chart" uri="{C3380CC4-5D6E-409C-BE32-E72D297353CC}">
              <c16:uniqueId val="{000000C2-1491-467E-B9F1-75460D4C920C}"/>
            </c:ext>
          </c:extLst>
        </c:ser>
        <c:ser>
          <c:idx val="195"/>
          <c:order val="195"/>
          <c:tx>
            <c:strRef>
              <c:f>'Cleaned Data'!$A$197</c:f>
              <c:strCache>
                <c:ptCount val="1"/>
                <c:pt idx="0">
                  <c:v>Dolos The Bully</c:v>
                </c:pt>
              </c:strCache>
            </c:strRef>
          </c:tx>
          <c:spPr>
            <a:solidFill>
              <a:schemeClr val="accent4">
                <a:lumMod val="50000"/>
              </a:schemeClr>
            </a:solidFill>
            <a:ln>
              <a:noFill/>
            </a:ln>
            <a:effectLst/>
          </c:spPr>
          <c:invertIfNegative val="0"/>
          <c:cat>
            <c:strRef>
              <c:f>'Cleaned Data'!$F$1</c:f>
              <c:strCache>
                <c:ptCount val="1"/>
                <c:pt idx="0">
                  <c:v> Volume (24) USD_cleaned </c:v>
                </c:pt>
              </c:strCache>
            </c:strRef>
          </c:cat>
          <c:val>
            <c:numRef>
              <c:f>'Cleaned Data'!$F$197</c:f>
            </c:numRef>
          </c:val>
          <c:extLst>
            <c:ext xmlns:c16="http://schemas.microsoft.com/office/drawing/2014/chart" uri="{C3380CC4-5D6E-409C-BE32-E72D297353CC}">
              <c16:uniqueId val="{000000C3-1491-467E-B9F1-75460D4C920C}"/>
            </c:ext>
          </c:extLst>
        </c:ser>
        <c:ser>
          <c:idx val="196"/>
          <c:order val="196"/>
          <c:tx>
            <c:strRef>
              <c:f>'Cleaned Data'!$A$198</c:f>
              <c:strCache>
                <c:ptCount val="1"/>
                <c:pt idx="0">
                  <c:v>LanLan Cat</c:v>
                </c:pt>
              </c:strCache>
            </c:strRef>
          </c:tx>
          <c:spPr>
            <a:solidFill>
              <a:schemeClr val="accent5">
                <a:lumMod val="50000"/>
              </a:schemeClr>
            </a:solidFill>
            <a:ln>
              <a:noFill/>
            </a:ln>
            <a:effectLst/>
          </c:spPr>
          <c:invertIfNegative val="0"/>
          <c:cat>
            <c:strRef>
              <c:f>'Cleaned Data'!$F$1</c:f>
              <c:strCache>
                <c:ptCount val="1"/>
                <c:pt idx="0">
                  <c:v> Volume (24) USD_cleaned </c:v>
                </c:pt>
              </c:strCache>
            </c:strRef>
          </c:cat>
          <c:val>
            <c:numRef>
              <c:f>'Cleaned Data'!$F$198</c:f>
            </c:numRef>
          </c:val>
          <c:extLst>
            <c:ext xmlns:c16="http://schemas.microsoft.com/office/drawing/2014/chart" uri="{C3380CC4-5D6E-409C-BE32-E72D297353CC}">
              <c16:uniqueId val="{000000C4-1491-467E-B9F1-75460D4C920C}"/>
            </c:ext>
          </c:extLst>
        </c:ser>
        <c:ser>
          <c:idx val="197"/>
          <c:order val="197"/>
          <c:tx>
            <c:strRef>
              <c:f>'Cleaned Data'!$A$199</c:f>
              <c:strCache>
                <c:ptCount val="1"/>
                <c:pt idx="0">
                  <c:v>Torum</c:v>
                </c:pt>
              </c:strCache>
            </c:strRef>
          </c:tx>
          <c:spPr>
            <a:solidFill>
              <a:schemeClr val="accent6">
                <a:lumMod val="50000"/>
              </a:schemeClr>
            </a:solidFill>
            <a:ln>
              <a:noFill/>
            </a:ln>
            <a:effectLst/>
          </c:spPr>
          <c:invertIfNegative val="0"/>
          <c:cat>
            <c:strRef>
              <c:f>'Cleaned Data'!$F$1</c:f>
              <c:strCache>
                <c:ptCount val="1"/>
                <c:pt idx="0">
                  <c:v> Volume (24) USD_cleaned </c:v>
                </c:pt>
              </c:strCache>
            </c:strRef>
          </c:cat>
          <c:val>
            <c:numRef>
              <c:f>'Cleaned Data'!$F$199</c:f>
            </c:numRef>
          </c:val>
          <c:extLst>
            <c:ext xmlns:c16="http://schemas.microsoft.com/office/drawing/2014/chart" uri="{C3380CC4-5D6E-409C-BE32-E72D297353CC}">
              <c16:uniqueId val="{000000C5-1491-467E-B9F1-75460D4C920C}"/>
            </c:ext>
          </c:extLst>
        </c:ser>
        <c:ser>
          <c:idx val="198"/>
          <c:order val="198"/>
          <c:tx>
            <c:strRef>
              <c:f>'Cleaned Data'!$A$200</c:f>
              <c:strCache>
                <c:ptCount val="1"/>
                <c:pt idx="0">
                  <c:v>SUNCAT</c:v>
                </c:pt>
              </c:strCache>
            </c:strRef>
          </c:tx>
          <c:spPr>
            <a:solidFill>
              <a:schemeClr val="accent1">
                <a:lumMod val="70000"/>
                <a:lumOff val="30000"/>
              </a:schemeClr>
            </a:solidFill>
            <a:ln>
              <a:noFill/>
            </a:ln>
            <a:effectLst/>
          </c:spPr>
          <c:invertIfNegative val="0"/>
          <c:cat>
            <c:strRef>
              <c:f>'Cleaned Data'!$F$1</c:f>
              <c:strCache>
                <c:ptCount val="1"/>
                <c:pt idx="0">
                  <c:v> Volume (24) USD_cleaned </c:v>
                </c:pt>
              </c:strCache>
            </c:strRef>
          </c:cat>
          <c:val>
            <c:numRef>
              <c:f>'Cleaned Data'!$F$200</c:f>
            </c:numRef>
          </c:val>
          <c:extLst>
            <c:ext xmlns:c16="http://schemas.microsoft.com/office/drawing/2014/chart" uri="{C3380CC4-5D6E-409C-BE32-E72D297353CC}">
              <c16:uniqueId val="{000000C6-1491-467E-B9F1-75460D4C920C}"/>
            </c:ext>
          </c:extLst>
        </c:ser>
        <c:ser>
          <c:idx val="199"/>
          <c:order val="199"/>
          <c:tx>
            <c:strRef>
              <c:f>'Cleaned Data'!$A$201</c:f>
              <c:strCache>
                <c:ptCount val="1"/>
                <c:pt idx="0">
                  <c:v>HOME3</c:v>
                </c:pt>
              </c:strCache>
            </c:strRef>
          </c:tx>
          <c:spPr>
            <a:solidFill>
              <a:schemeClr val="accent2">
                <a:lumMod val="70000"/>
                <a:lumOff val="30000"/>
              </a:schemeClr>
            </a:solidFill>
            <a:ln>
              <a:noFill/>
            </a:ln>
            <a:effectLst/>
          </c:spPr>
          <c:invertIfNegative val="0"/>
          <c:cat>
            <c:strRef>
              <c:f>'Cleaned Data'!$F$1</c:f>
              <c:strCache>
                <c:ptCount val="1"/>
                <c:pt idx="0">
                  <c:v> Volume (24) USD_cleaned </c:v>
                </c:pt>
              </c:strCache>
            </c:strRef>
          </c:cat>
          <c:val>
            <c:numRef>
              <c:f>'Cleaned Data'!$F$201</c:f>
            </c:numRef>
          </c:val>
          <c:extLst>
            <c:ext xmlns:c16="http://schemas.microsoft.com/office/drawing/2014/chart" uri="{C3380CC4-5D6E-409C-BE32-E72D297353CC}">
              <c16:uniqueId val="{000000C7-1491-467E-B9F1-75460D4C920C}"/>
            </c:ext>
          </c:extLst>
        </c:ser>
        <c:dLbls>
          <c:showLegendKey val="0"/>
          <c:showVal val="0"/>
          <c:showCatName val="0"/>
          <c:showSerName val="0"/>
          <c:showPercent val="0"/>
          <c:showBubbleSize val="0"/>
        </c:dLbls>
        <c:gapWidth val="182"/>
        <c:axId val="783299647"/>
        <c:axId val="783299167"/>
      </c:barChart>
      <c:catAx>
        <c:axId val="783299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299167"/>
        <c:crosses val="autoZero"/>
        <c:auto val="1"/>
        <c:lblAlgn val="ctr"/>
        <c:lblOffset val="100"/>
        <c:noMultiLvlLbl val="0"/>
      </c:catAx>
      <c:valAx>
        <c:axId val="783299167"/>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29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'Liquidity Analysis'!$J$1</c:f>
              <c:strCache>
                <c:ptCount val="1"/>
                <c:pt idx="0">
                  <c:v>chart volume</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804-438A-952D-7752A40F077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804-438A-952D-7752A40F077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804-438A-952D-7752A40F077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'Liquidity Analysis'!$I$2:$I$10</c:f>
              <c:strCache>
                <c:ptCount val="3"/>
                <c:pt idx="0">
                  <c:v>Bitcoin</c:v>
                </c:pt>
                <c:pt idx="1">
                  <c:v>Ethereum</c:v>
                </c:pt>
                <c:pt idx="2">
                  <c:v>BNB</c:v>
                </c:pt>
              </c:strCache>
            </c:strRef>
          </c:cat>
          <c:val>
            <c:numRef>
              <c:f>'Liquidity Analysis'!$J$2:$J$10</c:f>
              <c:numCache>
                <c:formatCode>General</c:formatCode>
                <c:ptCount val="3"/>
                <c:pt idx="0">
                  <c:v>43170391288</c:v>
                </c:pt>
                <c:pt idx="1">
                  <c:v>14942260356</c:v>
                </c:pt>
                <c:pt idx="2">
                  <c:v>1497928447</c:v>
                </c:pt>
              </c:numCache>
            </c:numRef>
          </c:val>
          <c:extLst>
            <c:ext xmlns:c16="http://schemas.microsoft.com/office/drawing/2014/chart" uri="{C3380CC4-5D6E-409C-BE32-E72D297353CC}">
              <c16:uniqueId val="{00000000-585A-4B9B-91B1-A6C7A4B041C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[Crypto_Analytics_Project(1).xlsm]PivotTable!PivotTable1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24H VOLUME BY PRICE RANGE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PivotTable!$B$3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7F2-4062-9939-4D5A32940E4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7F2-4062-9939-4D5A32940E4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7F2-4062-9939-4D5A32940E4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PivotTable!$A$4:$A$7</c:f>
              <c:strCache>
                <c:ptCount val="3"/>
                <c:pt idx="0">
                  <c:v>Bitcoin</c:v>
                </c:pt>
                <c:pt idx="1">
                  <c:v>Ethereum</c:v>
                </c:pt>
                <c:pt idx="2">
                  <c:v>BNB</c:v>
                </c:pt>
              </c:strCache>
            </c:strRef>
          </c:cat>
          <c:val>
            <c:numRef>
              <c:f>PivotTable!$B$4:$B$7</c:f>
              <c:numCache>
                <c:formatCode>General</c:formatCode>
                <c:ptCount val="3"/>
                <c:pt idx="0">
                  <c:v>43170391288</c:v>
                </c:pt>
                <c:pt idx="1">
                  <c:v>14942260356</c:v>
                </c:pt>
                <c:pt idx="2">
                  <c:v>1497928447</c:v>
                </c:pt>
              </c:numCache>
            </c:numRef>
          </c:val>
          <c:extLst>
            <c:ext xmlns:c16="http://schemas.microsoft.com/office/drawing/2014/chart" uri="{C3380CC4-5D6E-409C-BE32-E72D297353CC}">
              <c16:uniqueId val="{00000000-DD83-4781-BA8C-EB9EC455CEF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'Task 4'!$L$1</c:f>
              <c:strCache>
                <c:ptCount val="1"/>
                <c:pt idx="0">
                  <c:v>Price Change</c:v>
                </c:pt>
              </c:strCache>
            </c:strRef>
          </c:tx>
          <c:spPr>
            <a:solidFill>
              <a:schemeClr val="accent1"/>
            </a:solidFill>
            <a:ln>
              <a:noFill/>
            </a:ln>
            <a:effectLst/>
          </c:spPr>
          <c:invertIfNegative val="0"/>
          <c:cat>
            <c:strRef>
              <c:f>'Task 4'!$K$2:$K$7</c:f>
              <c:strCache>
                <c:ptCount val="4"/>
                <c:pt idx="0">
                  <c:v>BTC</c:v>
                </c:pt>
                <c:pt idx="1">
                  <c:v>ETH</c:v>
                </c:pt>
                <c:pt idx="2">
                  <c:v>BNB</c:v>
                </c:pt>
                <c:pt idx="3">
                  <c:v>BIFI</c:v>
                </c:pt>
              </c:strCache>
            </c:strRef>
          </c:cat>
          <c:val>
            <c:numRef>
              <c:f>'Task 4'!$L$2:$L$7</c:f>
              <c:numCache>
                <c:formatCode>General</c:formatCode>
                <c:ptCount val="4"/>
                <c:pt idx="0">
                  <c:v>249.14135674381396</c:v>
                </c:pt>
                <c:pt idx="1">
                  <c:v>18.732913854704293</c:v>
                </c:pt>
                <c:pt idx="2">
                  <c:v>0.64414585414579051</c:v>
                </c:pt>
                <c:pt idx="3">
                  <c:v>0.23469648562300449</c:v>
                </c:pt>
              </c:numCache>
            </c:numRef>
          </c:val>
          <c:extLst>
            <c:ext xmlns:c16="http://schemas.microsoft.com/office/drawing/2014/chart" uri="{C3380CC4-5D6E-409C-BE32-E72D297353CC}">
              <c16:uniqueId val="{00000000-2EF7-4AE4-8D02-F33E5BC2AD5C}"/>
            </c:ext>
          </c:extLst>
        </c:ser>
        <c:dLbls>
          <c:showLegendKey val="0"/>
          <c:showVal val="0"/>
          <c:showCatName val="0"/>
          <c:showSerName val="0"/>
          <c:showPercent val="0"/>
          <c:showBubbleSize val="0"/>
        </c:dLbls>
        <c:gapWidth val="219"/>
        <c:overlap val="-27"/>
        <c:axId val="601679583"/>
        <c:axId val="601678143"/>
      </c:barChart>
      <c:catAx>
        <c:axId val="601679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678143"/>
        <c:crosses val="autoZero"/>
        <c:auto val="1"/>
        <c:lblAlgn val="ctr"/>
        <c:lblOffset val="100"/>
        <c:noMultiLvlLbl val="0"/>
      </c:catAx>
      <c:valAx>
        <c:axId val="601678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679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Price Change Comparison: Current vs Previous 1h Price</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'Task 4'!$M$1</c:f>
              <c:strCache>
                <c:ptCount val="1"/>
                <c:pt idx="0">
                  <c:v>Current Price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'Task 4'!$K$2:$K$11</c:f>
              <c:strCache>
                <c:ptCount val="4"/>
                <c:pt idx="0">
                  <c:v>BTC</c:v>
                </c:pt>
                <c:pt idx="1">
                  <c:v>ETH</c:v>
                </c:pt>
                <c:pt idx="2">
                  <c:v>BNB</c:v>
                </c:pt>
                <c:pt idx="3">
                  <c:v>BIFI</c:v>
                </c:pt>
              </c:strCache>
            </c:strRef>
          </c:cat>
          <c:val>
            <c:numRef>
              <c:f>'Task 4'!$M$2:$M$11</c:f>
              <c:numCache>
                <c:formatCode>General</c:formatCode>
                <c:ptCount val="4"/>
                <c:pt idx="0">
                  <c:v>104058.04</c:v>
                </c:pt>
                <c:pt idx="1">
                  <c:v>2483.59</c:v>
                </c:pt>
                <c:pt idx="2">
                  <c:v>644.79</c:v>
                </c:pt>
                <c:pt idx="3">
                  <c:v>146.91999999999999</c:v>
                </c:pt>
              </c:numCache>
            </c:numRef>
          </c:val>
          <c:extLst>
            <c:ext xmlns:c16="http://schemas.microsoft.com/office/drawing/2014/chart" uri="{C3380CC4-5D6E-409C-BE32-E72D297353CC}">
              <c16:uniqueId val="{00000000-9B12-4AB1-8A2F-A6B972BC8936}"/>
            </c:ext>
          </c:extLst>
        </c:ser>
        <c:ser>
          <c:idx val="1"/>
          <c:order val="1"/>
          <c:tx>
            <c:strRef>
              <c:f>'Task 4'!$N$1</c:f>
              <c:strCache>
                <c:ptCount val="1"/>
                <c:pt idx="0">
                  <c:v>Previous 1h Price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'Task 4'!$K$2:$K$11</c:f>
              <c:strCache>
                <c:ptCount val="4"/>
                <c:pt idx="0">
                  <c:v>BTC</c:v>
                </c:pt>
                <c:pt idx="1">
                  <c:v>ETH</c:v>
                </c:pt>
                <c:pt idx="2">
                  <c:v>BNB</c:v>
                </c:pt>
                <c:pt idx="3">
                  <c:v>BIFI</c:v>
                </c:pt>
              </c:strCache>
            </c:strRef>
          </c:cat>
          <c:val>
            <c:numRef>
              <c:f>'Task 4'!$N$2:$N$11</c:f>
              <c:numCache>
                <c:formatCode>General</c:formatCode>
                <c:ptCount val="4"/>
                <c:pt idx="0">
                  <c:v>103808.89864325618</c:v>
                </c:pt>
                <c:pt idx="1">
                  <c:v>2464.8570861452959</c:v>
                </c:pt>
                <c:pt idx="2">
                  <c:v>644.14585414585417</c:v>
                </c:pt>
                <c:pt idx="3">
                  <c:v>146.68530351437698</c:v>
                </c:pt>
              </c:numCache>
            </c:numRef>
          </c:val>
          <c:extLst>
            <c:ext xmlns:c16="http://schemas.microsoft.com/office/drawing/2014/chart" uri="{C3380CC4-5D6E-409C-BE32-E72D297353CC}">
              <c16:uniqueId val="{00000001-9B12-4AB1-8A2F-A6B972BC8936}"/>
            </c:ext>
          </c:extLst>
        </c:ser>
        <c:dLbls>
          <c:dLblPos val="inEnd"/>
          <c:showLegendKey val="0"/>
          <c:showVal val="1"/>
          <c:showCatName val="0"/>
          <c:showSerName val="0"/>
          <c:showPercent val="0"/>
          <c:showBubbleSize val="0"/>
        </c:dLbls>
        <c:gapWidth val="65"/>
        <c:axId val="574828047"/>
        <c:axId val="574825647"/>
      </c:barChart>
      <c:catAx>
        <c:axId val="5748280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74825647"/>
        <c:crosses val="autoZero"/>
        <c:auto val="1"/>
        <c:lblAlgn val="ctr"/>
        <c:lblOffset val="100"/>
        <c:noMultiLvlLbl val="0"/>
      </c:catAx>
      <c:valAx>
        <c:axId val="57482564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74828047"/>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Historical Price Change — Top 10 Coins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'Task 5'!$J$1</c:f>
              <c:strCache>
                <c:ptCount val="1"/>
                <c:pt idx="0">
                  <c:v>7d Price</c:v>
                </c:pt>
              </c:strCache>
            </c:strRef>
          </c:tx>
          <c:spPr>
            <a:solidFill>
              <a:schemeClr val="accent1"/>
            </a:solidFill>
            <a:ln>
              <a:noFill/>
            </a:ln>
            <a:effectLst/>
          </c:spPr>
          <c:invertIfNegative val="0"/>
          <c:cat>
            <c:strRef>
              <c:f>'Task 5'!$A$2:$A$11</c:f>
              <c:strCache>
                <c:ptCount val="10"/>
                <c:pt idx="0">
                  <c:v>Ctrl Wallet</c:v>
                </c:pt>
                <c:pt idx="1">
                  <c:v>LanLan Cat</c:v>
                </c:pt>
                <c:pt idx="2">
                  <c:v>Kin</c:v>
                </c:pt>
                <c:pt idx="3">
                  <c:v>Orbiter Finance</c:v>
                </c:pt>
                <c:pt idx="4">
                  <c:v>Pups (Bitcoin)</c:v>
                </c:pt>
                <c:pt idx="5">
                  <c:v>PIBBLE</c:v>
                </c:pt>
                <c:pt idx="6">
                  <c:v>Degen</c:v>
                </c:pt>
                <c:pt idx="7">
                  <c:v>Bitcoin 2</c:v>
                </c:pt>
                <c:pt idx="8">
                  <c:v>Maple Finance</c:v>
                </c:pt>
                <c:pt idx="9">
                  <c:v>would</c:v>
                </c:pt>
              </c:strCache>
            </c:strRef>
          </c:cat>
          <c:val>
            <c:numRef>
              <c:f>'Task 5'!$J$2:$J$11</c:f>
              <c:numCache>
                <c:formatCode>0.000</c:formatCode>
                <c:ptCount val="10"/>
                <c:pt idx="0">
                  <c:v>3.3809873450524768E-3</c:v>
                </c:pt>
                <c:pt idx="1">
                  <c:v>7.5662042875157629E-5</c:v>
                </c:pt>
                <c:pt idx="2">
                  <c:v>3.885114734299517E-2</c:v>
                </c:pt>
                <c:pt idx="3">
                  <c:v>6.4485333743937176E-3</c:v>
                </c:pt>
                <c:pt idx="4">
                  <c:v>1.5738741517581738E-2</c:v>
                </c:pt>
                <c:pt idx="5">
                  <c:v>3.8574211141410213E-4</c:v>
                </c:pt>
                <c:pt idx="6">
                  <c:v>2.60529288365338E-3</c:v>
                </c:pt>
                <c:pt idx="7">
                  <c:v>0.14272977792186739</c:v>
                </c:pt>
                <c:pt idx="8">
                  <c:v>0.38121137206427691</c:v>
                </c:pt>
                <c:pt idx="9">
                  <c:v>0.40805214091246589</c:v>
                </c:pt>
              </c:numCache>
            </c:numRef>
          </c:val>
          <c:extLst>
            <c:ext xmlns:c16="http://schemas.microsoft.com/office/drawing/2014/chart" uri="{C3380CC4-5D6E-409C-BE32-E72D297353CC}">
              <c16:uniqueId val="{00000000-C9F7-4D59-8846-ADB488BD9858}"/>
            </c:ext>
          </c:extLst>
        </c:ser>
        <c:ser>
          <c:idx val="1"/>
          <c:order val="1"/>
          <c:tx>
            <c:strRef>
              <c:f>'Task 5'!$K$1</c:f>
              <c:strCache>
                <c:ptCount val="1"/>
                <c:pt idx="0">
                  <c:v>24h Price</c:v>
                </c:pt>
              </c:strCache>
            </c:strRef>
          </c:tx>
          <c:spPr>
            <a:solidFill>
              <a:schemeClr val="accent2"/>
            </a:solidFill>
            <a:ln>
              <a:noFill/>
            </a:ln>
            <a:effectLst/>
          </c:spPr>
          <c:invertIfNegative val="0"/>
          <c:cat>
            <c:strRef>
              <c:f>'Task 5'!$A$2:$A$11</c:f>
              <c:strCache>
                <c:ptCount val="10"/>
                <c:pt idx="0">
                  <c:v>Ctrl Wallet</c:v>
                </c:pt>
                <c:pt idx="1">
                  <c:v>LanLan Cat</c:v>
                </c:pt>
                <c:pt idx="2">
                  <c:v>Kin</c:v>
                </c:pt>
                <c:pt idx="3">
                  <c:v>Orbiter Finance</c:v>
                </c:pt>
                <c:pt idx="4">
                  <c:v>Pups (Bitcoin)</c:v>
                </c:pt>
                <c:pt idx="5">
                  <c:v>PIBBLE</c:v>
                </c:pt>
                <c:pt idx="6">
                  <c:v>Degen</c:v>
                </c:pt>
                <c:pt idx="7">
                  <c:v>Bitcoin 2</c:v>
                </c:pt>
                <c:pt idx="8">
                  <c:v>Maple Finance</c:v>
                </c:pt>
                <c:pt idx="9">
                  <c:v>would</c:v>
                </c:pt>
              </c:strCache>
            </c:strRef>
          </c:cat>
          <c:val>
            <c:numRef>
              <c:f>'Task 5'!$K$2:$K$11</c:f>
              <c:numCache>
                <c:formatCode>0.000</c:formatCode>
                <c:ptCount val="10"/>
                <c:pt idx="0">
                  <c:v>1.2540852290932389E-2</c:v>
                </c:pt>
                <c:pt idx="1">
                  <c:v>1.804865289040021E-4</c:v>
                </c:pt>
                <c:pt idx="2">
                  <c:v>5.6735008818342147E-2</c:v>
                </c:pt>
                <c:pt idx="3">
                  <c:v>9.1581019024710251E-3</c:v>
                </c:pt>
                <c:pt idx="4">
                  <c:v>2.230113636363636E-2</c:v>
                </c:pt>
                <c:pt idx="5">
                  <c:v>5.3873775843307943E-4</c:v>
                </c:pt>
                <c:pt idx="6">
                  <c:v>3.466079862601975E-3</c:v>
                </c:pt>
                <c:pt idx="7">
                  <c:v>0.1887055293613373</c:v>
                </c:pt>
                <c:pt idx="8">
                  <c:v>0.49265175718849841</c:v>
                </c:pt>
                <c:pt idx="9">
                  <c:v>0.52650628060464122</c:v>
                </c:pt>
              </c:numCache>
            </c:numRef>
          </c:val>
          <c:extLst>
            <c:ext xmlns:c16="http://schemas.microsoft.com/office/drawing/2014/chart" uri="{C3380CC4-5D6E-409C-BE32-E72D297353CC}">
              <c16:uniqueId val="{00000001-C9F7-4D59-8846-ADB488BD9858}"/>
            </c:ext>
          </c:extLst>
        </c:ser>
        <c:dLbls>
          <c:showLegendKey val="0"/>
          <c:showVal val="0"/>
          <c:showCatName val="0"/>
          <c:showSerName val="0"/>
          <c:showPercent val="0"/>
          <c:showBubbleSize val="0"/>
        </c:dLbls>
        <c:gapWidth val="219"/>
        <c:overlap val="-27"/>
        <c:axId val="1772887456"/>
        <c:axId val="1772889376"/>
      </c:barChart>
      <c:catAx>
        <c:axId val="177288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889376"/>
        <c:crosses val="autoZero"/>
        <c:auto val="1"/>
        <c:lblAlgn val="ctr"/>
        <c:lblOffset val="100"/>
        <c:noMultiLvlLbl val="0"/>
      </c:catAx>
      <c:valAx>
        <c:axId val="17728893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88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Price Change Comparison: Current vs Previous 1h Price</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'Task 4'!$M$1</c:f>
              <c:strCache>
                <c:ptCount val="1"/>
                <c:pt idx="0">
                  <c:v>Current Price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'Task 4'!$K$2:$K$11</c:f>
              <c:strCache>
                <c:ptCount val="4"/>
                <c:pt idx="0">
                  <c:v>BTC</c:v>
                </c:pt>
                <c:pt idx="1">
                  <c:v>ETH</c:v>
                </c:pt>
                <c:pt idx="2">
                  <c:v>BNB</c:v>
                </c:pt>
                <c:pt idx="3">
                  <c:v>BIFI</c:v>
                </c:pt>
              </c:strCache>
            </c:strRef>
          </c:cat>
          <c:val>
            <c:numRef>
              <c:f>'Task 4'!$M$2:$M$11</c:f>
              <c:numCache>
                <c:formatCode>General</c:formatCode>
                <c:ptCount val="4"/>
                <c:pt idx="0">
                  <c:v>104058.04</c:v>
                </c:pt>
                <c:pt idx="1">
                  <c:v>2483.59</c:v>
                </c:pt>
                <c:pt idx="2">
                  <c:v>644.79</c:v>
                </c:pt>
                <c:pt idx="3">
                  <c:v>146.91999999999999</c:v>
                </c:pt>
              </c:numCache>
            </c:numRef>
          </c:val>
          <c:extLst>
            <c:ext xmlns:c16="http://schemas.microsoft.com/office/drawing/2014/chart" uri="{C3380CC4-5D6E-409C-BE32-E72D297353CC}">
              <c16:uniqueId val="{00000000-FD3E-410B-AE41-D622D31C37C7}"/>
            </c:ext>
          </c:extLst>
        </c:ser>
        <c:ser>
          <c:idx val="1"/>
          <c:order val="1"/>
          <c:tx>
            <c:strRef>
              <c:f>'Task 4'!$N$1</c:f>
              <c:strCache>
                <c:ptCount val="1"/>
                <c:pt idx="0">
                  <c:v>Previous 1h Price</c:v>
                </c:pt>
              </c:strCache>
            </c:strRef>
          </c:tx>
          <c:spPr>
            <a:solidFill>
              <a:schemeClr val="accent2">
                <a:alpha val="85000"/>
              </a:schemeClr>
            </a:solidFill>
            <a:ln w="9525" cap="flat" cmpd="sng" algn="ctr">
              <a:solidFill>
                <a:schemeClr val="lt1">
                  <a:alpha val="50000"/>
                </a:schemeClr>
              </a:solidFill>
              <a:round/>
            </a:ln>
            <a:effectLst/>
          </c:spPr>
          <c:invertIfNegative val="0"/>
          <c:dLbls>
            <c:delete val="1"/>
          </c:dLbls>
          <c:cat>
            <c:strRef>
              <c:f>'Task 4'!$K$2:$K$11</c:f>
              <c:strCache>
                <c:ptCount val="4"/>
                <c:pt idx="0">
                  <c:v>BTC</c:v>
                </c:pt>
                <c:pt idx="1">
                  <c:v>ETH</c:v>
                </c:pt>
                <c:pt idx="2">
                  <c:v>BNB</c:v>
                </c:pt>
                <c:pt idx="3">
                  <c:v>BIFI</c:v>
                </c:pt>
              </c:strCache>
            </c:strRef>
          </c:cat>
          <c:val>
            <c:numRef>
              <c:f>'Task 4'!$N$2:$N$11</c:f>
              <c:numCache>
                <c:formatCode>General</c:formatCode>
                <c:ptCount val="4"/>
                <c:pt idx="0">
                  <c:v>103808.89864325618</c:v>
                </c:pt>
                <c:pt idx="1">
                  <c:v>2464.8570861452959</c:v>
                </c:pt>
                <c:pt idx="2">
                  <c:v>644.14585414585417</c:v>
                </c:pt>
                <c:pt idx="3">
                  <c:v>146.68530351437698</c:v>
                </c:pt>
              </c:numCache>
            </c:numRef>
          </c:val>
          <c:extLst>
            <c:ext xmlns:c16="http://schemas.microsoft.com/office/drawing/2014/chart" uri="{C3380CC4-5D6E-409C-BE32-E72D297353CC}">
              <c16:uniqueId val="{00000001-FD3E-410B-AE41-D622D31C37C7}"/>
            </c:ext>
          </c:extLst>
        </c:ser>
        <c:dLbls>
          <c:dLblPos val="inEnd"/>
          <c:showLegendKey val="0"/>
          <c:showVal val="1"/>
          <c:showCatName val="0"/>
          <c:showSerName val="0"/>
          <c:showPercent val="0"/>
          <c:showBubbleSize val="0"/>
        </c:dLbls>
        <c:gapWidth val="65"/>
        <c:axId val="574828047"/>
        <c:axId val="574825647"/>
      </c:barChart>
      <c:catAx>
        <c:axId val="5748280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74825647"/>
        <c:crosses val="autoZero"/>
        <c:auto val="1"/>
        <c:lblAlgn val="ctr"/>
        <c:lblOffset val="100"/>
        <c:noMultiLvlLbl val="0"/>
      </c:catAx>
      <c:valAx>
        <c:axId val="57482564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74828047"/>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 Top 10 Coins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'Task 5'!$J$1</c:f>
              <c:strCache>
                <c:ptCount val="1"/>
                <c:pt idx="0">
                  <c:v>7d Price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'Task 5'!$A$2:$A$11</c:f>
              <c:strCache>
                <c:ptCount val="10"/>
                <c:pt idx="0">
                  <c:v>Ctrl Wallet</c:v>
                </c:pt>
                <c:pt idx="1">
                  <c:v>LanLan Cat</c:v>
                </c:pt>
                <c:pt idx="2">
                  <c:v>Kin</c:v>
                </c:pt>
                <c:pt idx="3">
                  <c:v>Orbiter Finance</c:v>
                </c:pt>
                <c:pt idx="4">
                  <c:v>Pups (Bitcoin)</c:v>
                </c:pt>
                <c:pt idx="5">
                  <c:v>PIBBLE</c:v>
                </c:pt>
                <c:pt idx="6">
                  <c:v>Degen</c:v>
                </c:pt>
                <c:pt idx="7">
                  <c:v>Bitcoin 2</c:v>
                </c:pt>
                <c:pt idx="8">
                  <c:v>Maple Finance</c:v>
                </c:pt>
                <c:pt idx="9">
                  <c:v>would</c:v>
                </c:pt>
              </c:strCache>
            </c:strRef>
          </c:cat>
          <c:val>
            <c:numRef>
              <c:f>'Task 5'!$J$2:$J$11</c:f>
              <c:numCache>
                <c:formatCode>0.000</c:formatCode>
                <c:ptCount val="10"/>
                <c:pt idx="0">
                  <c:v>3.3809873450524768E-3</c:v>
                </c:pt>
                <c:pt idx="1">
                  <c:v>7.5662042875157629E-5</c:v>
                </c:pt>
                <c:pt idx="2">
                  <c:v>3.885114734299517E-2</c:v>
                </c:pt>
                <c:pt idx="3">
                  <c:v>6.4485333743937176E-3</c:v>
                </c:pt>
                <c:pt idx="4">
                  <c:v>1.5738741517581738E-2</c:v>
                </c:pt>
                <c:pt idx="5">
                  <c:v>3.8574211141410213E-4</c:v>
                </c:pt>
                <c:pt idx="6">
                  <c:v>2.60529288365338E-3</c:v>
                </c:pt>
                <c:pt idx="7">
                  <c:v>0.14272977792186739</c:v>
                </c:pt>
                <c:pt idx="8">
                  <c:v>0.38121137206427691</c:v>
                </c:pt>
                <c:pt idx="9">
                  <c:v>0.40805214091246589</c:v>
                </c:pt>
              </c:numCache>
            </c:numRef>
          </c:val>
          <c:extLst>
            <c:ext xmlns:c16="http://schemas.microsoft.com/office/drawing/2014/chart" uri="{C3380CC4-5D6E-409C-BE32-E72D297353CC}">
              <c16:uniqueId val="{00000000-829E-4CAD-BF00-773BED8CAFB4}"/>
            </c:ext>
          </c:extLst>
        </c:ser>
        <c:ser>
          <c:idx val="1"/>
          <c:order val="1"/>
          <c:tx>
            <c:strRef>
              <c:f>'Task 5'!$K$1</c:f>
              <c:strCache>
                <c:ptCount val="1"/>
                <c:pt idx="0">
                  <c:v>24h Price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'Task 5'!$A$2:$A$11</c:f>
              <c:strCache>
                <c:ptCount val="10"/>
                <c:pt idx="0">
                  <c:v>Ctrl Wallet</c:v>
                </c:pt>
                <c:pt idx="1">
                  <c:v>LanLan Cat</c:v>
                </c:pt>
                <c:pt idx="2">
                  <c:v>Kin</c:v>
                </c:pt>
                <c:pt idx="3">
                  <c:v>Orbiter Finance</c:v>
                </c:pt>
                <c:pt idx="4">
                  <c:v>Pups (Bitcoin)</c:v>
                </c:pt>
                <c:pt idx="5">
                  <c:v>PIBBLE</c:v>
                </c:pt>
                <c:pt idx="6">
                  <c:v>Degen</c:v>
                </c:pt>
                <c:pt idx="7">
                  <c:v>Bitcoin 2</c:v>
                </c:pt>
                <c:pt idx="8">
                  <c:v>Maple Finance</c:v>
                </c:pt>
                <c:pt idx="9">
                  <c:v>would</c:v>
                </c:pt>
              </c:strCache>
            </c:strRef>
          </c:cat>
          <c:val>
            <c:numRef>
              <c:f>'Task 5'!$K$2:$K$11</c:f>
              <c:numCache>
                <c:formatCode>0.000</c:formatCode>
                <c:ptCount val="10"/>
                <c:pt idx="0">
                  <c:v>1.2540852290932389E-2</c:v>
                </c:pt>
                <c:pt idx="1">
                  <c:v>1.804865289040021E-4</c:v>
                </c:pt>
                <c:pt idx="2">
                  <c:v>5.6735008818342147E-2</c:v>
                </c:pt>
                <c:pt idx="3">
                  <c:v>9.1581019024710251E-3</c:v>
                </c:pt>
                <c:pt idx="4">
                  <c:v>2.230113636363636E-2</c:v>
                </c:pt>
                <c:pt idx="5">
                  <c:v>5.3873775843307943E-4</c:v>
                </c:pt>
                <c:pt idx="6">
                  <c:v>3.466079862601975E-3</c:v>
                </c:pt>
                <c:pt idx="7">
                  <c:v>0.1887055293613373</c:v>
                </c:pt>
                <c:pt idx="8">
                  <c:v>0.49265175718849841</c:v>
                </c:pt>
                <c:pt idx="9">
                  <c:v>0.52650628060464122</c:v>
                </c:pt>
              </c:numCache>
            </c:numRef>
          </c:val>
          <c:extLst>
            <c:ext xmlns:c16="http://schemas.microsoft.com/office/drawing/2014/chart" uri="{C3380CC4-5D6E-409C-BE32-E72D297353CC}">
              <c16:uniqueId val="{00000001-829E-4CAD-BF00-773BED8CAFB4}"/>
            </c:ext>
          </c:extLst>
        </c:ser>
        <c:dLbls>
          <c:dLblPos val="inEnd"/>
          <c:showLegendKey val="0"/>
          <c:showVal val="1"/>
          <c:showCatName val="0"/>
          <c:showSerName val="0"/>
          <c:showPercent val="0"/>
          <c:showBubbleSize val="0"/>
        </c:dLbls>
        <c:gapWidth val="65"/>
        <c:axId val="1772887456"/>
        <c:axId val="1772889376"/>
      </c:barChart>
      <c:catAx>
        <c:axId val="17728874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72889376"/>
        <c:crosses val="autoZero"/>
        <c:auto val="1"/>
        <c:lblAlgn val="ctr"/>
        <c:lblOffset val="100"/>
        <c:noMultiLvlLbl val="0"/>
      </c:catAx>
      <c:valAx>
        <c:axId val="177288937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0" sourceLinked="1"/>
        <c:majorTickMark val="none"/>
        <c:minorTickMark val="none"/>
        <c:tickLblPos val="nextTo"/>
        <c:crossAx val="177288745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10 Crypto Coins by 24-Hour Volume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bar"/>
        <c:grouping val="clustered"/>
        <c:varyColors val="0"/>
        <c:ser>
          <c:idx val="0"/>
          <c:order val="0"/>
          <c:tx>
            <c:strRef>
              <c:f>'Cleaned Data'!$A$2</c:f>
              <c:strCache>
                <c:ptCount val="1"/>
                <c:pt idx="0">
                  <c:v>Bitcoin</c:v>
                </c:pt>
              </c:strCache>
            </c:strRef>
          </c:tx>
          <c:spPr>
            <a:solidFill>
              <a:schemeClr val="accent1">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Data'!$F$2</c:f>
              <c:numCache>
                <c:formatCode>_("$"* #,##0_);_("$"* \(#,##0\);_("$"* "-"??_);_(@_)</c:formatCode>
                <c:ptCount val="1"/>
                <c:pt idx="0">
                  <c:v>43170391288</c:v>
                </c:pt>
              </c:numCache>
            </c:numRef>
          </c:val>
          <c:extLst>
            <c:ext xmlns:c16="http://schemas.microsoft.com/office/drawing/2014/chart" uri="{C3380CC4-5D6E-409C-BE32-E72D297353CC}">
              <c16:uniqueId val="{00000000-6232-4A31-8AD3-35D8BD332703}"/>
            </c:ext>
          </c:extLst>
        </c:ser>
        <c:ser>
          <c:idx val="1"/>
          <c:order val="1"/>
          <c:tx>
            <c:strRef>
              <c:f>'Cleaned Data'!$A$3</c:f>
              <c:strCache>
                <c:ptCount val="1"/>
                <c:pt idx="0">
                  <c:v>Ethereum</c:v>
                </c:pt>
              </c:strCache>
            </c:strRef>
          </c:tx>
          <c:spPr>
            <a:solidFill>
              <a:schemeClr val="accent2">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Data'!$F$3</c:f>
              <c:numCache>
                <c:formatCode>_("$"* #,##0_);_("$"* \(#,##0\);_("$"* "-"??_);_(@_)</c:formatCode>
                <c:ptCount val="1"/>
                <c:pt idx="0">
                  <c:v>14942260356</c:v>
                </c:pt>
              </c:numCache>
            </c:numRef>
          </c:val>
          <c:extLst>
            <c:ext xmlns:c16="http://schemas.microsoft.com/office/drawing/2014/chart" uri="{C3380CC4-5D6E-409C-BE32-E72D297353CC}">
              <c16:uniqueId val="{00000001-6232-4A31-8AD3-35D8BD332703}"/>
            </c:ext>
          </c:extLst>
        </c:ser>
        <c:ser>
          <c:idx val="2"/>
          <c:order val="2"/>
          <c:tx>
            <c:strRef>
              <c:f>'Cleaned Data'!$A$4</c:f>
              <c:strCache>
                <c:ptCount val="1"/>
                <c:pt idx="0">
                  <c:v>Tether</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c:f>
            </c:numRef>
          </c:val>
          <c:extLst>
            <c:ext xmlns:c16="http://schemas.microsoft.com/office/drawing/2014/chart" uri="{C3380CC4-5D6E-409C-BE32-E72D297353CC}">
              <c16:uniqueId val="{00000002-6232-4A31-8AD3-35D8BD332703}"/>
            </c:ext>
          </c:extLst>
        </c:ser>
        <c:ser>
          <c:idx val="3"/>
          <c:order val="3"/>
          <c:tx>
            <c:strRef>
              <c:f>'Cleaned Data'!$A$5</c:f>
              <c:strCache>
                <c:ptCount val="1"/>
                <c:pt idx="0">
                  <c:v>XRP</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c:f>
            </c:numRef>
          </c:val>
          <c:extLst>
            <c:ext xmlns:c16="http://schemas.microsoft.com/office/drawing/2014/chart" uri="{C3380CC4-5D6E-409C-BE32-E72D297353CC}">
              <c16:uniqueId val="{00000003-6232-4A31-8AD3-35D8BD332703}"/>
            </c:ext>
          </c:extLst>
        </c:ser>
        <c:ser>
          <c:idx val="4"/>
          <c:order val="4"/>
          <c:tx>
            <c:strRef>
              <c:f>'Cleaned Data'!$A$6</c:f>
              <c:strCache>
                <c:ptCount val="1"/>
                <c:pt idx="0">
                  <c:v>BNB</c:v>
                </c:pt>
              </c:strCache>
            </c:strRef>
          </c:tx>
          <c:spPr>
            <a:solidFill>
              <a:schemeClr val="accent5">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Data'!$F$6</c:f>
              <c:numCache>
                <c:formatCode>_("$"* #,##0_);_("$"* \(#,##0\);_("$"* "-"??_);_(@_)</c:formatCode>
                <c:ptCount val="1"/>
                <c:pt idx="0">
                  <c:v>1497928447</c:v>
                </c:pt>
              </c:numCache>
            </c:numRef>
          </c:val>
          <c:extLst>
            <c:ext xmlns:c16="http://schemas.microsoft.com/office/drawing/2014/chart" uri="{C3380CC4-5D6E-409C-BE32-E72D297353CC}">
              <c16:uniqueId val="{00000004-6232-4A31-8AD3-35D8BD332703}"/>
            </c:ext>
          </c:extLst>
        </c:ser>
        <c:ser>
          <c:idx val="5"/>
          <c:order val="5"/>
          <c:tx>
            <c:strRef>
              <c:f>'Cleaned Data'!$A$7</c:f>
              <c:strCache>
                <c:ptCount val="1"/>
                <c:pt idx="0">
                  <c:v>Solana</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c:f>
            </c:numRef>
          </c:val>
          <c:extLst>
            <c:ext xmlns:c16="http://schemas.microsoft.com/office/drawing/2014/chart" uri="{C3380CC4-5D6E-409C-BE32-E72D297353CC}">
              <c16:uniqueId val="{00000005-6232-4A31-8AD3-35D8BD332703}"/>
            </c:ext>
          </c:extLst>
        </c:ser>
        <c:ser>
          <c:idx val="6"/>
          <c:order val="6"/>
          <c:tx>
            <c:strRef>
              <c:f>'Cleaned Data'!$A$8</c:f>
              <c:strCache>
                <c:ptCount val="1"/>
                <c:pt idx="0">
                  <c:v>USDC</c:v>
                </c:pt>
              </c:strCache>
            </c:strRef>
          </c:tx>
          <c:spPr>
            <a:solidFill>
              <a:schemeClr val="accent1">
                <a:lumMod val="60000"/>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Data'!$F$8</c:f>
              <c:numCache>
                <c:formatCode>_("$"* #,##0_);_("$"* \(#,##0\);_("$"* "-"??_);_(@_)</c:formatCode>
                <c:ptCount val="1"/>
                <c:pt idx="0">
                  <c:v>8208315257</c:v>
                </c:pt>
              </c:numCache>
            </c:numRef>
          </c:val>
          <c:extLst>
            <c:ext xmlns:c16="http://schemas.microsoft.com/office/drawing/2014/chart" uri="{C3380CC4-5D6E-409C-BE32-E72D297353CC}">
              <c16:uniqueId val="{00000006-6232-4A31-8AD3-35D8BD332703}"/>
            </c:ext>
          </c:extLst>
        </c:ser>
        <c:ser>
          <c:idx val="7"/>
          <c:order val="7"/>
          <c:tx>
            <c:strRef>
              <c:f>'Cleaned Data'!$A$9</c:f>
              <c:strCache>
                <c:ptCount val="1"/>
                <c:pt idx="0">
                  <c:v>TRON</c:v>
                </c:pt>
              </c:strCache>
            </c:strRef>
          </c:tx>
          <c:spPr>
            <a:solidFill>
              <a:schemeClr val="accent2">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c:f>
            </c:numRef>
          </c:val>
          <c:extLst>
            <c:ext xmlns:c16="http://schemas.microsoft.com/office/drawing/2014/chart" uri="{C3380CC4-5D6E-409C-BE32-E72D297353CC}">
              <c16:uniqueId val="{00000007-6232-4A31-8AD3-35D8BD332703}"/>
            </c:ext>
          </c:extLst>
        </c:ser>
        <c:ser>
          <c:idx val="8"/>
          <c:order val="8"/>
          <c:tx>
            <c:strRef>
              <c:f>'Cleaned Data'!$A$10</c:f>
              <c:strCache>
                <c:ptCount val="1"/>
                <c:pt idx="0">
                  <c:v>Dogecoin</c:v>
                </c:pt>
              </c:strCache>
            </c:strRef>
          </c:tx>
          <c:spPr>
            <a:solidFill>
              <a:schemeClr val="accent3">
                <a:lumMod val="60000"/>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Data'!$F$10</c:f>
              <c:numCache>
                <c:formatCode>_("$"* #,##0_);_("$"* \(#,##0\);_("$"* "-"??_);_(@_)</c:formatCode>
                <c:ptCount val="1"/>
                <c:pt idx="0">
                  <c:v>781433558</c:v>
                </c:pt>
              </c:numCache>
            </c:numRef>
          </c:val>
          <c:extLst>
            <c:ext xmlns:c16="http://schemas.microsoft.com/office/drawing/2014/chart" uri="{C3380CC4-5D6E-409C-BE32-E72D297353CC}">
              <c16:uniqueId val="{00000008-6232-4A31-8AD3-35D8BD332703}"/>
            </c:ext>
          </c:extLst>
        </c:ser>
        <c:ser>
          <c:idx val="9"/>
          <c:order val="9"/>
          <c:tx>
            <c:strRef>
              <c:f>'Cleaned Data'!$A$11</c:f>
              <c:strCache>
                <c:ptCount val="1"/>
                <c:pt idx="0">
                  <c:v>Cardano</c:v>
                </c:pt>
              </c:strCache>
            </c:strRef>
          </c:tx>
          <c:spPr>
            <a:solidFill>
              <a:schemeClr val="accent4">
                <a:lumMod val="60000"/>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Data'!$F$11</c:f>
              <c:numCache>
                <c:formatCode>_("$"* #,##0_);_("$"* \(#,##0\);_("$"* "-"??_);_(@_)</c:formatCode>
                <c:ptCount val="1"/>
                <c:pt idx="0">
                  <c:v>539447597</c:v>
                </c:pt>
              </c:numCache>
            </c:numRef>
          </c:val>
          <c:extLst>
            <c:ext xmlns:c16="http://schemas.microsoft.com/office/drawing/2014/chart" uri="{C3380CC4-5D6E-409C-BE32-E72D297353CC}">
              <c16:uniqueId val="{00000009-6232-4A31-8AD3-35D8BD332703}"/>
            </c:ext>
          </c:extLst>
        </c:ser>
        <c:ser>
          <c:idx val="10"/>
          <c:order val="10"/>
          <c:tx>
            <c:strRef>
              <c:f>'Cleaned Data'!$A$12</c:f>
              <c:strCache>
                <c:ptCount val="1"/>
                <c:pt idx="0">
                  <c:v>Pudgy Penguins</c:v>
                </c:pt>
              </c:strCache>
            </c:strRef>
          </c:tx>
          <c:spPr>
            <a:solidFill>
              <a:schemeClr val="accent5">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c:f>
            </c:numRef>
          </c:val>
          <c:extLst>
            <c:ext xmlns:c16="http://schemas.microsoft.com/office/drawing/2014/chart" uri="{C3380CC4-5D6E-409C-BE32-E72D297353CC}">
              <c16:uniqueId val="{0000000A-6232-4A31-8AD3-35D8BD332703}"/>
            </c:ext>
          </c:extLst>
        </c:ser>
        <c:ser>
          <c:idx val="11"/>
          <c:order val="11"/>
          <c:tx>
            <c:strRef>
              <c:f>'Cleaned Data'!$A$13</c:f>
              <c:strCache>
                <c:ptCount val="1"/>
                <c:pt idx="0">
                  <c:v>Walrus</c:v>
                </c:pt>
              </c:strCache>
            </c:strRef>
          </c:tx>
          <c:spPr>
            <a:solidFill>
              <a:schemeClr val="accent6">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c:f>
            </c:numRef>
          </c:val>
          <c:extLst>
            <c:ext xmlns:c16="http://schemas.microsoft.com/office/drawing/2014/chart" uri="{C3380CC4-5D6E-409C-BE32-E72D297353CC}">
              <c16:uniqueId val="{0000000B-6232-4A31-8AD3-35D8BD332703}"/>
            </c:ext>
          </c:extLst>
        </c:ser>
        <c:ser>
          <c:idx val="12"/>
          <c:order val="12"/>
          <c:tx>
            <c:strRef>
              <c:f>'Cleaned Data'!$A$14</c:f>
              <c:strCache>
                <c:ptCount val="1"/>
                <c:pt idx="0">
                  <c:v>Raydium</c:v>
                </c:pt>
              </c:strCache>
            </c:strRef>
          </c:tx>
          <c:spPr>
            <a:solidFill>
              <a:schemeClr val="accent1">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c:f>
            </c:numRef>
          </c:val>
          <c:extLst>
            <c:ext xmlns:c16="http://schemas.microsoft.com/office/drawing/2014/chart" uri="{C3380CC4-5D6E-409C-BE32-E72D297353CC}">
              <c16:uniqueId val="{0000000C-6232-4A31-8AD3-35D8BD332703}"/>
            </c:ext>
          </c:extLst>
        </c:ser>
        <c:ser>
          <c:idx val="13"/>
          <c:order val="13"/>
          <c:tx>
            <c:strRef>
              <c:f>'Cleaned Data'!$A$15</c:f>
              <c:strCache>
                <c:ptCount val="1"/>
                <c:pt idx="0">
                  <c:v>Core</c:v>
                </c:pt>
              </c:strCache>
            </c:strRef>
          </c:tx>
          <c:spPr>
            <a:solidFill>
              <a:schemeClr val="accent2">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c:f>
            </c:numRef>
          </c:val>
          <c:extLst>
            <c:ext xmlns:c16="http://schemas.microsoft.com/office/drawing/2014/chart" uri="{C3380CC4-5D6E-409C-BE32-E72D297353CC}">
              <c16:uniqueId val="{0000000D-6232-4A31-8AD3-35D8BD332703}"/>
            </c:ext>
          </c:extLst>
        </c:ser>
        <c:ser>
          <c:idx val="14"/>
          <c:order val="14"/>
          <c:tx>
            <c:strRef>
              <c:f>'Cleaned Data'!$A$16</c:f>
              <c:strCache>
                <c:ptCount val="1"/>
                <c:pt idx="0">
                  <c:v>Tezos</c:v>
                </c:pt>
              </c:strCache>
            </c:strRef>
          </c:tx>
          <c:spPr>
            <a:solidFill>
              <a:schemeClr val="accent3">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c:f>
            </c:numRef>
          </c:val>
          <c:extLst>
            <c:ext xmlns:c16="http://schemas.microsoft.com/office/drawing/2014/chart" uri="{C3380CC4-5D6E-409C-BE32-E72D297353CC}">
              <c16:uniqueId val="{0000000E-6232-4A31-8AD3-35D8BD332703}"/>
            </c:ext>
          </c:extLst>
        </c:ser>
        <c:ser>
          <c:idx val="15"/>
          <c:order val="15"/>
          <c:tx>
            <c:strRef>
              <c:f>'Cleaned Data'!$A$17</c:f>
              <c:strCache>
                <c:ptCount val="1"/>
                <c:pt idx="0">
                  <c:v>Pyth Network</c:v>
                </c:pt>
              </c:strCache>
            </c:strRef>
          </c:tx>
          <c:spPr>
            <a:solidFill>
              <a:schemeClr val="accent4">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c:f>
            </c:numRef>
          </c:val>
          <c:extLst>
            <c:ext xmlns:c16="http://schemas.microsoft.com/office/drawing/2014/chart" uri="{C3380CC4-5D6E-409C-BE32-E72D297353CC}">
              <c16:uniqueId val="{0000000F-6232-4A31-8AD3-35D8BD332703}"/>
            </c:ext>
          </c:extLst>
        </c:ser>
        <c:ser>
          <c:idx val="16"/>
          <c:order val="16"/>
          <c:tx>
            <c:strRef>
              <c:f>'Cleaned Data'!$A$18</c:f>
              <c:strCache>
                <c:ptCount val="1"/>
                <c:pt idx="0">
                  <c:v>Flow</c:v>
                </c:pt>
              </c:strCache>
            </c:strRef>
          </c:tx>
          <c:spPr>
            <a:solidFill>
              <a:schemeClr val="accent5">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c:f>
            </c:numRef>
          </c:val>
          <c:extLst>
            <c:ext xmlns:c16="http://schemas.microsoft.com/office/drawing/2014/chart" uri="{C3380CC4-5D6E-409C-BE32-E72D297353CC}">
              <c16:uniqueId val="{00000010-6232-4A31-8AD3-35D8BD332703}"/>
            </c:ext>
          </c:extLst>
        </c:ser>
        <c:ser>
          <c:idx val="17"/>
          <c:order val="17"/>
          <c:tx>
            <c:strRef>
              <c:f>'Cleaned Data'!$A$19</c:f>
              <c:strCache>
                <c:ptCount val="1"/>
                <c:pt idx="0">
                  <c:v>Maple Finance</c:v>
                </c:pt>
              </c:strCache>
            </c:strRef>
          </c:tx>
          <c:spPr>
            <a:solidFill>
              <a:schemeClr val="accent6">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c:f>
            </c:numRef>
          </c:val>
          <c:extLst>
            <c:ext xmlns:c16="http://schemas.microsoft.com/office/drawing/2014/chart" uri="{C3380CC4-5D6E-409C-BE32-E72D297353CC}">
              <c16:uniqueId val="{00000011-6232-4A31-8AD3-35D8BD332703}"/>
            </c:ext>
          </c:extLst>
        </c:ser>
        <c:ser>
          <c:idx val="18"/>
          <c:order val="18"/>
          <c:tx>
            <c:strRef>
              <c:f>'Cleaned Data'!$A$20</c:f>
              <c:strCache>
                <c:ptCount val="1"/>
                <c:pt idx="0">
                  <c:v>Decentraland</c:v>
                </c:pt>
              </c:strCache>
            </c:strRef>
          </c:tx>
          <c:spPr>
            <a:solidFill>
              <a:schemeClr val="accent1">
                <a:lumMod val="80000"/>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Data'!$F$20</c:f>
              <c:numCache>
                <c:formatCode>_("$"* #,##0_);_("$"* \(#,##0\);_("$"* "-"??_);_(@_)</c:formatCode>
                <c:ptCount val="1"/>
                <c:pt idx="0">
                  <c:v>25685731</c:v>
                </c:pt>
              </c:numCache>
            </c:numRef>
          </c:val>
          <c:extLst>
            <c:ext xmlns:c16="http://schemas.microsoft.com/office/drawing/2014/chart" uri="{C3380CC4-5D6E-409C-BE32-E72D297353CC}">
              <c16:uniqueId val="{00000012-6232-4A31-8AD3-35D8BD332703}"/>
            </c:ext>
          </c:extLst>
        </c:ser>
        <c:ser>
          <c:idx val="19"/>
          <c:order val="19"/>
          <c:tx>
            <c:strRef>
              <c:f>'Cleaned Data'!$A$21</c:f>
              <c:strCache>
                <c:ptCount val="1"/>
                <c:pt idx="0">
                  <c:v>TrueUSD</c:v>
                </c:pt>
              </c:strCache>
            </c:strRef>
          </c:tx>
          <c:spPr>
            <a:solidFill>
              <a:schemeClr val="accent2">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Data'!$F$21</c:f>
            </c:numRef>
          </c:val>
          <c:extLst>
            <c:ext xmlns:c16="http://schemas.microsoft.com/office/drawing/2014/chart" uri="{C3380CC4-5D6E-409C-BE32-E72D297353CC}">
              <c16:uniqueId val="{00000013-6232-4A31-8AD3-35D8BD332703}"/>
            </c:ext>
          </c:extLst>
        </c:ser>
        <c:ser>
          <c:idx val="20"/>
          <c:order val="20"/>
          <c:tx>
            <c:strRef>
              <c:f>'Cleaned Data'!$A$22</c:f>
              <c:strCache>
                <c:ptCount val="1"/>
                <c:pt idx="0">
                  <c:v>Fasttoken</c:v>
                </c:pt>
              </c:strCache>
            </c:strRef>
          </c:tx>
          <c:spPr>
            <a:solidFill>
              <a:schemeClr val="accent3">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Data'!$F$22</c:f>
            </c:numRef>
          </c:val>
          <c:extLst>
            <c:ext xmlns:c16="http://schemas.microsoft.com/office/drawing/2014/chart" uri="{C3380CC4-5D6E-409C-BE32-E72D297353CC}">
              <c16:uniqueId val="{00000014-6232-4A31-8AD3-35D8BD332703}"/>
            </c:ext>
          </c:extLst>
        </c:ser>
        <c:ser>
          <c:idx val="21"/>
          <c:order val="21"/>
          <c:tx>
            <c:strRef>
              <c:f>'Cleaned Data'!$A$23</c:f>
              <c:strCache>
                <c:ptCount val="1"/>
                <c:pt idx="0">
                  <c:v>Jupiter Perps LP</c:v>
                </c:pt>
              </c:strCache>
            </c:strRef>
          </c:tx>
          <c:spPr>
            <a:solidFill>
              <a:schemeClr val="accent4">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Data'!$F$23</c:f>
            </c:numRef>
          </c:val>
          <c:extLst>
            <c:ext xmlns:c16="http://schemas.microsoft.com/office/drawing/2014/chart" uri="{C3380CC4-5D6E-409C-BE32-E72D297353CC}">
              <c16:uniqueId val="{00000015-6232-4A31-8AD3-35D8BD332703}"/>
            </c:ext>
          </c:extLst>
        </c:ser>
        <c:ser>
          <c:idx val="22"/>
          <c:order val="22"/>
          <c:tx>
            <c:strRef>
              <c:f>'Cleaned Data'!$A$24</c:f>
              <c:strCache>
                <c:ptCount val="1"/>
                <c:pt idx="0">
                  <c:v>Zeebu</c:v>
                </c:pt>
              </c:strCache>
            </c:strRef>
          </c:tx>
          <c:spPr>
            <a:solidFill>
              <a:schemeClr val="accent5">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Data'!$F$24</c:f>
            </c:numRef>
          </c:val>
          <c:extLst>
            <c:ext xmlns:c16="http://schemas.microsoft.com/office/drawing/2014/chart" uri="{C3380CC4-5D6E-409C-BE32-E72D297353CC}">
              <c16:uniqueId val="{00000016-6232-4A31-8AD3-35D8BD332703}"/>
            </c:ext>
          </c:extLst>
        </c:ser>
        <c:ser>
          <c:idx val="23"/>
          <c:order val="23"/>
          <c:tx>
            <c:strRef>
              <c:f>'Cleaned Data'!$A$25</c:f>
              <c:strCache>
                <c:ptCount val="1"/>
                <c:pt idx="0">
                  <c:v>Fellaz</c:v>
                </c:pt>
              </c:strCache>
            </c:strRef>
          </c:tx>
          <c:spPr>
            <a:solidFill>
              <a:schemeClr val="accent6">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Data'!$F$25</c:f>
            </c:numRef>
          </c:val>
          <c:extLst>
            <c:ext xmlns:c16="http://schemas.microsoft.com/office/drawing/2014/chart" uri="{C3380CC4-5D6E-409C-BE32-E72D297353CC}">
              <c16:uniqueId val="{00000017-6232-4A31-8AD3-35D8BD332703}"/>
            </c:ext>
          </c:extLst>
        </c:ser>
        <c:ser>
          <c:idx val="24"/>
          <c:order val="24"/>
          <c:tx>
            <c:strRef>
              <c:f>'Cleaned Data'!$A$26</c:f>
              <c:strCache>
                <c:ptCount val="1"/>
                <c:pt idx="0">
                  <c:v>Usual USD</c:v>
                </c:pt>
              </c:strCache>
            </c:strRef>
          </c:tx>
          <c:spPr>
            <a:solidFill>
              <a:schemeClr val="accent1">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Data'!$F$26</c:f>
            </c:numRef>
          </c:val>
          <c:extLst>
            <c:ext xmlns:c16="http://schemas.microsoft.com/office/drawing/2014/chart" uri="{C3380CC4-5D6E-409C-BE32-E72D297353CC}">
              <c16:uniqueId val="{00000018-6232-4A31-8AD3-35D8BD332703}"/>
            </c:ext>
          </c:extLst>
        </c:ser>
        <c:ser>
          <c:idx val="25"/>
          <c:order val="25"/>
          <c:tx>
            <c:strRef>
              <c:f>'Cleaned Data'!$A$27</c:f>
              <c:strCache>
                <c:ptCount val="1"/>
                <c:pt idx="0">
                  <c:v>Ondo US Dollar Yield</c:v>
                </c:pt>
              </c:strCache>
            </c:strRef>
          </c:tx>
          <c:spPr>
            <a:solidFill>
              <a:schemeClr val="accent2">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Data'!$F$27</c:f>
            </c:numRef>
          </c:val>
          <c:extLst>
            <c:ext xmlns:c16="http://schemas.microsoft.com/office/drawing/2014/chart" uri="{C3380CC4-5D6E-409C-BE32-E72D297353CC}">
              <c16:uniqueId val="{00000019-6232-4A31-8AD3-35D8BD332703}"/>
            </c:ext>
          </c:extLst>
        </c:ser>
        <c:ser>
          <c:idx val="26"/>
          <c:order val="26"/>
          <c:tx>
            <c:strRef>
              <c:f>'Cleaned Data'!$A$28</c:f>
              <c:strCache>
                <c:ptCount val="1"/>
                <c:pt idx="0">
                  <c:v>Falcon USD</c:v>
                </c:pt>
              </c:strCache>
            </c:strRef>
          </c:tx>
          <c:spPr>
            <a:solidFill>
              <a:schemeClr val="accent3">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Data'!$F$28</c:f>
            </c:numRef>
          </c:val>
          <c:extLst>
            <c:ext xmlns:c16="http://schemas.microsoft.com/office/drawing/2014/chart" uri="{C3380CC4-5D6E-409C-BE32-E72D297353CC}">
              <c16:uniqueId val="{0000001A-6232-4A31-8AD3-35D8BD332703}"/>
            </c:ext>
          </c:extLst>
        </c:ser>
        <c:ser>
          <c:idx val="27"/>
          <c:order val="27"/>
          <c:tx>
            <c:strRef>
              <c:f>'Cleaned Data'!$A$29</c:f>
              <c:strCache>
                <c:ptCount val="1"/>
                <c:pt idx="0">
                  <c:v>Loaded Lions</c:v>
                </c:pt>
              </c:strCache>
            </c:strRef>
          </c:tx>
          <c:spPr>
            <a:solidFill>
              <a:schemeClr val="accent4">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Data'!$F$29</c:f>
            </c:numRef>
          </c:val>
          <c:extLst>
            <c:ext xmlns:c16="http://schemas.microsoft.com/office/drawing/2014/chart" uri="{C3380CC4-5D6E-409C-BE32-E72D297353CC}">
              <c16:uniqueId val="{0000001B-6232-4A31-8AD3-35D8BD332703}"/>
            </c:ext>
          </c:extLst>
        </c:ser>
        <c:ser>
          <c:idx val="28"/>
          <c:order val="28"/>
          <c:tx>
            <c:strRef>
              <c:f>'Cleaned Data'!$A$30</c:f>
              <c:strCache>
                <c:ptCount val="1"/>
                <c:pt idx="0">
                  <c:v>would</c:v>
                </c:pt>
              </c:strCache>
            </c:strRef>
          </c:tx>
          <c:spPr>
            <a:solidFill>
              <a:schemeClr val="accent5">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Data'!$F$30</c:f>
            </c:numRef>
          </c:val>
          <c:extLst>
            <c:ext xmlns:c16="http://schemas.microsoft.com/office/drawing/2014/chart" uri="{C3380CC4-5D6E-409C-BE32-E72D297353CC}">
              <c16:uniqueId val="{0000001C-6232-4A31-8AD3-35D8BD332703}"/>
            </c:ext>
          </c:extLst>
        </c:ser>
        <c:ser>
          <c:idx val="29"/>
          <c:order val="29"/>
          <c:tx>
            <c:strRef>
              <c:f>'Cleaned Data'!$A$31</c:f>
              <c:strCache>
                <c:ptCount val="1"/>
                <c:pt idx="0">
                  <c:v>WhiteRock</c:v>
                </c:pt>
              </c:strCache>
            </c:strRef>
          </c:tx>
          <c:spPr>
            <a:solidFill>
              <a:schemeClr val="accent6">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Data'!$F$31</c:f>
            </c:numRef>
          </c:val>
          <c:extLst>
            <c:ext xmlns:c16="http://schemas.microsoft.com/office/drawing/2014/chart" uri="{C3380CC4-5D6E-409C-BE32-E72D297353CC}">
              <c16:uniqueId val="{0000001D-6232-4A31-8AD3-35D8BD332703}"/>
            </c:ext>
          </c:extLst>
        </c:ser>
        <c:ser>
          <c:idx val="30"/>
          <c:order val="30"/>
          <c:tx>
            <c:strRef>
              <c:f>'Cleaned Data'!$A$32</c:f>
              <c:strCache>
                <c:ptCount val="1"/>
                <c:pt idx="0">
                  <c:v>Ontology</c:v>
                </c:pt>
              </c:strCache>
            </c:strRef>
          </c:tx>
          <c:spPr>
            <a:solidFill>
              <a:schemeClr val="accent1">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Data'!$F$32</c:f>
            </c:numRef>
          </c:val>
          <c:extLst>
            <c:ext xmlns:c16="http://schemas.microsoft.com/office/drawing/2014/chart" uri="{C3380CC4-5D6E-409C-BE32-E72D297353CC}">
              <c16:uniqueId val="{0000001E-6232-4A31-8AD3-35D8BD332703}"/>
            </c:ext>
          </c:extLst>
        </c:ser>
        <c:ser>
          <c:idx val="31"/>
          <c:order val="31"/>
          <c:tx>
            <c:strRef>
              <c:f>'Cleaned Data'!$A$33</c:f>
              <c:strCache>
                <c:ptCount val="1"/>
                <c:pt idx="0">
                  <c:v>Request</c:v>
                </c:pt>
              </c:strCache>
            </c:strRef>
          </c:tx>
          <c:spPr>
            <a:solidFill>
              <a:schemeClr val="accent2">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Data'!$F$33</c:f>
            </c:numRef>
          </c:val>
          <c:extLst>
            <c:ext xmlns:c16="http://schemas.microsoft.com/office/drawing/2014/chart" uri="{C3380CC4-5D6E-409C-BE32-E72D297353CC}">
              <c16:uniqueId val="{0000001F-6232-4A31-8AD3-35D8BD332703}"/>
            </c:ext>
          </c:extLst>
        </c:ser>
        <c:ser>
          <c:idx val="32"/>
          <c:order val="32"/>
          <c:tx>
            <c:strRef>
              <c:f>'Cleaned Data'!$A$34</c:f>
              <c:strCache>
                <c:ptCount val="1"/>
                <c:pt idx="0">
                  <c:v>Paycoin</c:v>
                </c:pt>
              </c:strCache>
            </c:strRef>
          </c:tx>
          <c:spPr>
            <a:solidFill>
              <a:schemeClr val="accent3">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Data'!$F$34</c:f>
            </c:numRef>
          </c:val>
          <c:extLst>
            <c:ext xmlns:c16="http://schemas.microsoft.com/office/drawing/2014/chart" uri="{C3380CC4-5D6E-409C-BE32-E72D297353CC}">
              <c16:uniqueId val="{00000020-6232-4A31-8AD3-35D8BD332703}"/>
            </c:ext>
          </c:extLst>
        </c:ser>
        <c:ser>
          <c:idx val="33"/>
          <c:order val="33"/>
          <c:tx>
            <c:strRef>
              <c:f>'Cleaned Data'!$A$35</c:f>
              <c:strCache>
                <c:ptCount val="1"/>
                <c:pt idx="0">
                  <c:v>COTI</c:v>
                </c:pt>
              </c:strCache>
            </c:strRef>
          </c:tx>
          <c:spPr>
            <a:solidFill>
              <a:schemeClr val="accent4">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Data'!$F$35</c:f>
            </c:numRef>
          </c:val>
          <c:extLst>
            <c:ext xmlns:c16="http://schemas.microsoft.com/office/drawing/2014/chart" uri="{C3380CC4-5D6E-409C-BE32-E72D297353CC}">
              <c16:uniqueId val="{00000021-6232-4A31-8AD3-35D8BD332703}"/>
            </c:ext>
          </c:extLst>
        </c:ser>
        <c:ser>
          <c:idx val="34"/>
          <c:order val="34"/>
          <c:tx>
            <c:strRef>
              <c:f>'Cleaned Data'!$A$36</c:f>
              <c:strCache>
                <c:ptCount val="1"/>
                <c:pt idx="0">
                  <c:v>Gravity (by Galxe)</c:v>
                </c:pt>
              </c:strCache>
            </c:strRef>
          </c:tx>
          <c:spPr>
            <a:solidFill>
              <a:schemeClr val="accent5">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Data'!$F$36</c:f>
            </c:numRef>
          </c:val>
          <c:extLst>
            <c:ext xmlns:c16="http://schemas.microsoft.com/office/drawing/2014/chart" uri="{C3380CC4-5D6E-409C-BE32-E72D297353CC}">
              <c16:uniqueId val="{00000022-6232-4A31-8AD3-35D8BD332703}"/>
            </c:ext>
          </c:extLst>
        </c:ser>
        <c:ser>
          <c:idx val="35"/>
          <c:order val="35"/>
          <c:tx>
            <c:strRef>
              <c:f>'Cleaned Data'!$A$37</c:f>
              <c:strCache>
                <c:ptCount val="1"/>
                <c:pt idx="0">
                  <c:v>Terra</c:v>
                </c:pt>
              </c:strCache>
            </c:strRef>
          </c:tx>
          <c:spPr>
            <a:solidFill>
              <a:schemeClr val="accent6">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Data'!$F$37</c:f>
            </c:numRef>
          </c:val>
          <c:extLst>
            <c:ext xmlns:c16="http://schemas.microsoft.com/office/drawing/2014/chart" uri="{C3380CC4-5D6E-409C-BE32-E72D297353CC}">
              <c16:uniqueId val="{00000023-6232-4A31-8AD3-35D8BD332703}"/>
            </c:ext>
          </c:extLst>
        </c:ser>
        <c:ser>
          <c:idx val="36"/>
          <c:order val="36"/>
          <c:tx>
            <c:strRef>
              <c:f>'Cleaned Data'!$A$38</c:f>
              <c:strCache>
                <c:ptCount val="1"/>
                <c:pt idx="0">
                  <c:v>Solar</c:v>
                </c:pt>
              </c:strCache>
            </c:strRef>
          </c:tx>
          <c:spPr>
            <a:solidFill>
              <a:schemeClr val="accent1">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Data'!$F$38</c:f>
            </c:numRef>
          </c:val>
          <c:extLst>
            <c:ext xmlns:c16="http://schemas.microsoft.com/office/drawing/2014/chart" uri="{C3380CC4-5D6E-409C-BE32-E72D297353CC}">
              <c16:uniqueId val="{00000024-6232-4A31-8AD3-35D8BD332703}"/>
            </c:ext>
          </c:extLst>
        </c:ser>
        <c:ser>
          <c:idx val="37"/>
          <c:order val="37"/>
          <c:tx>
            <c:strRef>
              <c:f>'Cleaned Data'!$A$39</c:f>
              <c:strCache>
                <c:ptCount val="1"/>
                <c:pt idx="0">
                  <c:v>Destra Network</c:v>
                </c:pt>
              </c:strCache>
            </c:strRef>
          </c:tx>
          <c:spPr>
            <a:solidFill>
              <a:schemeClr val="accent2">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Data'!$F$39</c:f>
            </c:numRef>
          </c:val>
          <c:extLst>
            <c:ext xmlns:c16="http://schemas.microsoft.com/office/drawing/2014/chart" uri="{C3380CC4-5D6E-409C-BE32-E72D297353CC}">
              <c16:uniqueId val="{00000025-6232-4A31-8AD3-35D8BD332703}"/>
            </c:ext>
          </c:extLst>
        </c:ser>
        <c:ser>
          <c:idx val="38"/>
          <c:order val="38"/>
          <c:tx>
            <c:strRef>
              <c:f>'Cleaned Data'!$A$40</c:f>
              <c:strCache>
                <c:ptCount val="1"/>
                <c:pt idx="0">
                  <c:v>World Mobile Token</c:v>
                </c:pt>
              </c:strCache>
            </c:strRef>
          </c:tx>
          <c:spPr>
            <a:solidFill>
              <a:schemeClr val="accent3">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Data'!$F$40</c:f>
            </c:numRef>
          </c:val>
          <c:extLst>
            <c:ext xmlns:c16="http://schemas.microsoft.com/office/drawing/2014/chart" uri="{C3380CC4-5D6E-409C-BE32-E72D297353CC}">
              <c16:uniqueId val="{00000026-6232-4A31-8AD3-35D8BD332703}"/>
            </c:ext>
          </c:extLst>
        </c:ser>
        <c:ser>
          <c:idx val="39"/>
          <c:order val="39"/>
          <c:tx>
            <c:strRef>
              <c:f>'Cleaned Data'!$A$41</c:f>
              <c:strCache>
                <c:ptCount val="1"/>
                <c:pt idx="0">
                  <c:v>SKALE</c:v>
                </c:pt>
              </c:strCache>
            </c:strRef>
          </c:tx>
          <c:spPr>
            <a:solidFill>
              <a:schemeClr val="accent4">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Data'!$F$41</c:f>
            </c:numRef>
          </c:val>
          <c:extLst>
            <c:ext xmlns:c16="http://schemas.microsoft.com/office/drawing/2014/chart" uri="{C3380CC4-5D6E-409C-BE32-E72D297353CC}">
              <c16:uniqueId val="{00000027-6232-4A31-8AD3-35D8BD332703}"/>
            </c:ext>
          </c:extLst>
        </c:ser>
        <c:ser>
          <c:idx val="40"/>
          <c:order val="40"/>
          <c:tx>
            <c:strRef>
              <c:f>'Cleaned Data'!$A$42</c:f>
              <c:strCache>
                <c:ptCount val="1"/>
                <c:pt idx="0">
                  <c:v>Usual</c:v>
                </c:pt>
              </c:strCache>
            </c:strRef>
          </c:tx>
          <c:spPr>
            <a:solidFill>
              <a:schemeClr val="accent5">
                <a:lumMod val="70000"/>
                <a:lumOff val="30000"/>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Data'!$F$42</c:f>
              <c:numCache>
                <c:formatCode>_("$"* #,##0_);_("$"* \(#,##0\);_("$"* "-"??_);_(@_)</c:formatCode>
                <c:ptCount val="1"/>
                <c:pt idx="0">
                  <c:v>25758134</c:v>
                </c:pt>
              </c:numCache>
            </c:numRef>
          </c:val>
          <c:extLst>
            <c:ext xmlns:c16="http://schemas.microsoft.com/office/drawing/2014/chart" uri="{C3380CC4-5D6E-409C-BE32-E72D297353CC}">
              <c16:uniqueId val="{00000028-6232-4A31-8AD3-35D8BD332703}"/>
            </c:ext>
          </c:extLst>
        </c:ser>
        <c:ser>
          <c:idx val="41"/>
          <c:order val="41"/>
          <c:tx>
            <c:strRef>
              <c:f>'Cleaned Data'!$A$43</c:f>
              <c:strCache>
                <c:ptCount val="1"/>
                <c:pt idx="0">
                  <c:v>Arcblock</c:v>
                </c:pt>
              </c:strCache>
            </c:strRef>
          </c:tx>
          <c:spPr>
            <a:solidFill>
              <a:schemeClr val="accent6">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Data'!$F$43</c:f>
            </c:numRef>
          </c:val>
          <c:extLst>
            <c:ext xmlns:c16="http://schemas.microsoft.com/office/drawing/2014/chart" uri="{C3380CC4-5D6E-409C-BE32-E72D297353CC}">
              <c16:uniqueId val="{00000029-6232-4A31-8AD3-35D8BD332703}"/>
            </c:ext>
          </c:extLst>
        </c:ser>
        <c:ser>
          <c:idx val="42"/>
          <c:order val="42"/>
          <c:tx>
            <c:strRef>
              <c:f>'Cleaned Data'!$A$44</c:f>
              <c:strCache>
                <c:ptCount val="1"/>
                <c:pt idx="0">
                  <c:v>Memecoin</c:v>
                </c:pt>
              </c:strCache>
            </c:strRef>
          </c:tx>
          <c:spPr>
            <a:solidFill>
              <a:schemeClr val="accent1">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Data'!$F$44</c:f>
            </c:numRef>
          </c:val>
          <c:extLst>
            <c:ext xmlns:c16="http://schemas.microsoft.com/office/drawing/2014/chart" uri="{C3380CC4-5D6E-409C-BE32-E72D297353CC}">
              <c16:uniqueId val="{0000002A-6232-4A31-8AD3-35D8BD332703}"/>
            </c:ext>
          </c:extLst>
        </c:ser>
        <c:ser>
          <c:idx val="43"/>
          <c:order val="43"/>
          <c:tx>
            <c:strRef>
              <c:f>'Cleaned Data'!$A$45</c:f>
              <c:strCache>
                <c:ptCount val="1"/>
                <c:pt idx="0">
                  <c:v>MiL.k</c:v>
                </c:pt>
              </c:strCache>
            </c:strRef>
          </c:tx>
          <c:spPr>
            <a:solidFill>
              <a:schemeClr val="accent2">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Data'!$F$45</c:f>
            </c:numRef>
          </c:val>
          <c:extLst>
            <c:ext xmlns:c16="http://schemas.microsoft.com/office/drawing/2014/chart" uri="{C3380CC4-5D6E-409C-BE32-E72D297353CC}">
              <c16:uniqueId val="{0000002B-6232-4A31-8AD3-35D8BD332703}"/>
            </c:ext>
          </c:extLst>
        </c:ser>
        <c:ser>
          <c:idx val="44"/>
          <c:order val="44"/>
          <c:tx>
            <c:strRef>
              <c:f>'Cleaned Data'!$A$46</c:f>
              <c:strCache>
                <c:ptCount val="1"/>
                <c:pt idx="0">
                  <c:v>dKargo</c:v>
                </c:pt>
              </c:strCache>
            </c:strRef>
          </c:tx>
          <c:spPr>
            <a:solidFill>
              <a:schemeClr val="accent3">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Data'!$F$46</c:f>
            </c:numRef>
          </c:val>
          <c:extLst>
            <c:ext xmlns:c16="http://schemas.microsoft.com/office/drawing/2014/chart" uri="{C3380CC4-5D6E-409C-BE32-E72D297353CC}">
              <c16:uniqueId val="{0000002C-6232-4A31-8AD3-35D8BD332703}"/>
            </c:ext>
          </c:extLst>
        </c:ser>
        <c:ser>
          <c:idx val="45"/>
          <c:order val="45"/>
          <c:tx>
            <c:strRef>
              <c:f>'Cleaned Data'!$A$47</c:f>
              <c:strCache>
                <c:ptCount val="1"/>
                <c:pt idx="0">
                  <c:v>AI Companions</c:v>
                </c:pt>
              </c:strCache>
            </c:strRef>
          </c:tx>
          <c:spPr>
            <a:solidFill>
              <a:schemeClr val="accent4">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Data'!$F$47</c:f>
            </c:numRef>
          </c:val>
          <c:extLst>
            <c:ext xmlns:c16="http://schemas.microsoft.com/office/drawing/2014/chart" uri="{C3380CC4-5D6E-409C-BE32-E72D297353CC}">
              <c16:uniqueId val="{0000002D-6232-4A31-8AD3-35D8BD332703}"/>
            </c:ext>
          </c:extLst>
        </c:ser>
        <c:ser>
          <c:idx val="46"/>
          <c:order val="46"/>
          <c:tx>
            <c:strRef>
              <c:f>'Cleaned Data'!$A$48</c:f>
              <c:strCache>
                <c:ptCount val="1"/>
                <c:pt idx="0">
                  <c:v>Degen</c:v>
                </c:pt>
              </c:strCache>
            </c:strRef>
          </c:tx>
          <c:spPr>
            <a:solidFill>
              <a:schemeClr val="accent5">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Data'!$F$48</c:f>
            </c:numRef>
          </c:val>
          <c:extLst>
            <c:ext xmlns:c16="http://schemas.microsoft.com/office/drawing/2014/chart" uri="{C3380CC4-5D6E-409C-BE32-E72D297353CC}">
              <c16:uniqueId val="{0000002E-6232-4A31-8AD3-35D8BD332703}"/>
            </c:ext>
          </c:extLst>
        </c:ser>
        <c:ser>
          <c:idx val="47"/>
          <c:order val="47"/>
          <c:tx>
            <c:strRef>
              <c:f>'Cleaned Data'!$A$49</c:f>
              <c:strCache>
                <c:ptCount val="1"/>
                <c:pt idx="0">
                  <c:v>Aevo</c:v>
                </c:pt>
              </c:strCache>
            </c:strRef>
          </c:tx>
          <c:spPr>
            <a:solidFill>
              <a:schemeClr val="accent6">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Data'!$F$49</c:f>
            </c:numRef>
          </c:val>
          <c:extLst>
            <c:ext xmlns:c16="http://schemas.microsoft.com/office/drawing/2014/chart" uri="{C3380CC4-5D6E-409C-BE32-E72D297353CC}">
              <c16:uniqueId val="{0000002F-6232-4A31-8AD3-35D8BD332703}"/>
            </c:ext>
          </c:extLst>
        </c:ser>
        <c:ser>
          <c:idx val="48"/>
          <c:order val="48"/>
          <c:tx>
            <c:strRef>
              <c:f>'Cleaned Data'!$A$50</c:f>
              <c:strCache>
                <c:ptCount val="1"/>
                <c:pt idx="0">
                  <c:v>Spark</c:v>
                </c:pt>
              </c:strCache>
            </c:strRef>
          </c:tx>
          <c:spPr>
            <a:solidFill>
              <a:schemeClr val="accent1">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Data'!$F$50</c:f>
            </c:numRef>
          </c:val>
          <c:extLst>
            <c:ext xmlns:c16="http://schemas.microsoft.com/office/drawing/2014/chart" uri="{C3380CC4-5D6E-409C-BE32-E72D297353CC}">
              <c16:uniqueId val="{00000030-6232-4A31-8AD3-35D8BD332703}"/>
            </c:ext>
          </c:extLst>
        </c:ser>
        <c:ser>
          <c:idx val="49"/>
          <c:order val="49"/>
          <c:tx>
            <c:strRef>
              <c:f>'Cleaned Data'!$A$51</c:f>
              <c:strCache>
                <c:ptCount val="1"/>
                <c:pt idx="0">
                  <c:v>Global Commercial Business</c:v>
                </c:pt>
              </c:strCache>
            </c:strRef>
          </c:tx>
          <c:spPr>
            <a:solidFill>
              <a:schemeClr val="accent2">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Data'!$F$51</c:f>
            </c:numRef>
          </c:val>
          <c:extLst>
            <c:ext xmlns:c16="http://schemas.microsoft.com/office/drawing/2014/chart" uri="{C3380CC4-5D6E-409C-BE32-E72D297353CC}">
              <c16:uniqueId val="{00000031-6232-4A31-8AD3-35D8BD332703}"/>
            </c:ext>
          </c:extLst>
        </c:ser>
        <c:ser>
          <c:idx val="50"/>
          <c:order val="50"/>
          <c:tx>
            <c:strRef>
              <c:f>'Cleaned Data'!$A$52</c:f>
              <c:strCache>
                <c:ptCount val="1"/>
                <c:pt idx="0">
                  <c:v>NEM</c:v>
                </c:pt>
              </c:strCache>
            </c:strRef>
          </c:tx>
          <c:spPr>
            <a:solidFill>
              <a:schemeClr val="accent3">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Data'!$F$52</c:f>
            </c:numRef>
          </c:val>
          <c:extLst>
            <c:ext xmlns:c16="http://schemas.microsoft.com/office/drawing/2014/chart" uri="{C3380CC4-5D6E-409C-BE32-E72D297353CC}">
              <c16:uniqueId val="{00000032-6232-4A31-8AD3-35D8BD332703}"/>
            </c:ext>
          </c:extLst>
        </c:ser>
        <c:ser>
          <c:idx val="51"/>
          <c:order val="51"/>
          <c:tx>
            <c:strRef>
              <c:f>'Cleaned Data'!$A$53</c:f>
              <c:strCache>
                <c:ptCount val="1"/>
                <c:pt idx="0">
                  <c:v>Humans.ai</c:v>
                </c:pt>
              </c:strCache>
            </c:strRef>
          </c:tx>
          <c:spPr>
            <a:solidFill>
              <a:schemeClr val="accent4">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Data'!$F$53</c:f>
            </c:numRef>
          </c:val>
          <c:extLst>
            <c:ext xmlns:c16="http://schemas.microsoft.com/office/drawing/2014/chart" uri="{C3380CC4-5D6E-409C-BE32-E72D297353CC}">
              <c16:uniqueId val="{00000033-6232-4A31-8AD3-35D8BD332703}"/>
            </c:ext>
          </c:extLst>
        </c:ser>
        <c:ser>
          <c:idx val="52"/>
          <c:order val="52"/>
          <c:tx>
            <c:strRef>
              <c:f>'Cleaned Data'!$A$54</c:f>
              <c:strCache>
                <c:ptCount val="1"/>
                <c:pt idx="0">
                  <c:v>Oasys</c:v>
                </c:pt>
              </c:strCache>
            </c:strRef>
          </c:tx>
          <c:spPr>
            <a:solidFill>
              <a:schemeClr val="accent5">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Data'!$F$54</c:f>
            </c:numRef>
          </c:val>
          <c:extLst>
            <c:ext xmlns:c16="http://schemas.microsoft.com/office/drawing/2014/chart" uri="{C3380CC4-5D6E-409C-BE32-E72D297353CC}">
              <c16:uniqueId val="{00000034-6232-4A31-8AD3-35D8BD332703}"/>
            </c:ext>
          </c:extLst>
        </c:ser>
        <c:ser>
          <c:idx val="53"/>
          <c:order val="53"/>
          <c:tx>
            <c:strRef>
              <c:f>'Cleaned Data'!$A$55</c:f>
              <c:strCache>
                <c:ptCount val="1"/>
                <c:pt idx="0">
                  <c:v>Smooth Love Potion</c:v>
                </c:pt>
              </c:strCache>
            </c:strRef>
          </c:tx>
          <c:spPr>
            <a:solidFill>
              <a:schemeClr val="accent6">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Data'!$F$55</c:f>
            </c:numRef>
          </c:val>
          <c:extLst>
            <c:ext xmlns:c16="http://schemas.microsoft.com/office/drawing/2014/chart" uri="{C3380CC4-5D6E-409C-BE32-E72D297353CC}">
              <c16:uniqueId val="{00000035-6232-4A31-8AD3-35D8BD332703}"/>
            </c:ext>
          </c:extLst>
        </c:ser>
        <c:ser>
          <c:idx val="54"/>
          <c:order val="54"/>
          <c:tx>
            <c:strRef>
              <c:f>'Cleaned Data'!$A$56</c:f>
              <c:strCache>
                <c:ptCount val="1"/>
                <c:pt idx="0">
                  <c:v>Neutron</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Data'!$F$56</c:f>
            </c:numRef>
          </c:val>
          <c:extLst>
            <c:ext xmlns:c16="http://schemas.microsoft.com/office/drawing/2014/chart" uri="{C3380CC4-5D6E-409C-BE32-E72D297353CC}">
              <c16:uniqueId val="{00000036-6232-4A31-8AD3-35D8BD332703}"/>
            </c:ext>
          </c:extLst>
        </c:ser>
        <c:ser>
          <c:idx val="55"/>
          <c:order val="55"/>
          <c:tx>
            <c:strRef>
              <c:f>'Cleaned Data'!$A$57</c:f>
              <c:strCache>
                <c:ptCount val="1"/>
                <c:pt idx="0">
                  <c:v>Eurite</c:v>
                </c:pt>
              </c:strCache>
            </c:strRef>
          </c:tx>
          <c:spPr>
            <a:solidFill>
              <a:schemeClr val="accent2">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Data'!$F$57</c:f>
              <c:numCache>
                <c:formatCode>_("$"* #,##0_);_("$"* \(#,##0\);_("$"* "-"??_);_(@_)</c:formatCode>
                <c:ptCount val="1"/>
                <c:pt idx="0">
                  <c:v>22680605</c:v>
                </c:pt>
              </c:numCache>
            </c:numRef>
          </c:val>
          <c:extLst>
            <c:ext xmlns:c16="http://schemas.microsoft.com/office/drawing/2014/chart" uri="{C3380CC4-5D6E-409C-BE32-E72D297353CC}">
              <c16:uniqueId val="{00000037-6232-4A31-8AD3-35D8BD332703}"/>
            </c:ext>
          </c:extLst>
        </c:ser>
        <c:ser>
          <c:idx val="56"/>
          <c:order val="56"/>
          <c:tx>
            <c:strRef>
              <c:f>'Cleaned Data'!$A$58</c:f>
              <c:strCache>
                <c:ptCount val="1"/>
                <c:pt idx="0">
                  <c:v>ANDY (ETH)</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Data'!$F$58</c:f>
            </c:numRef>
          </c:val>
          <c:extLst>
            <c:ext xmlns:c16="http://schemas.microsoft.com/office/drawing/2014/chart" uri="{C3380CC4-5D6E-409C-BE32-E72D297353CC}">
              <c16:uniqueId val="{00000038-6232-4A31-8AD3-35D8BD332703}"/>
            </c:ext>
          </c:extLst>
        </c:ser>
        <c:ser>
          <c:idx val="57"/>
          <c:order val="57"/>
          <c:tx>
            <c:strRef>
              <c:f>'Cleaned Data'!$A$59</c:f>
              <c:strCache>
                <c:ptCount val="1"/>
                <c:pt idx="0">
                  <c:v>GameBuild</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Data'!$F$59</c:f>
            </c:numRef>
          </c:val>
          <c:extLst>
            <c:ext xmlns:c16="http://schemas.microsoft.com/office/drawing/2014/chart" uri="{C3380CC4-5D6E-409C-BE32-E72D297353CC}">
              <c16:uniqueId val="{00000039-6232-4A31-8AD3-35D8BD332703}"/>
            </c:ext>
          </c:extLst>
        </c:ser>
        <c:ser>
          <c:idx val="58"/>
          <c:order val="58"/>
          <c:tx>
            <c:strRef>
              <c:f>'Cleaned Data'!$A$60</c:f>
              <c:strCache>
                <c:ptCount val="1"/>
                <c:pt idx="0">
                  <c:v>Tornado Cash</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Data'!$F$60</c:f>
            </c:numRef>
          </c:val>
          <c:extLst>
            <c:ext xmlns:c16="http://schemas.microsoft.com/office/drawing/2014/chart" uri="{C3380CC4-5D6E-409C-BE32-E72D297353CC}">
              <c16:uniqueId val="{0000003A-6232-4A31-8AD3-35D8BD332703}"/>
            </c:ext>
          </c:extLst>
        </c:ser>
        <c:ser>
          <c:idx val="59"/>
          <c:order val="59"/>
          <c:tx>
            <c:strRef>
              <c:f>'Cleaned Data'!$A$61</c:f>
              <c:strCache>
                <c:ptCount val="1"/>
                <c:pt idx="0">
                  <c:v>DeFi Pulse Index</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Data'!$F$61</c:f>
            </c:numRef>
          </c:val>
          <c:extLst>
            <c:ext xmlns:c16="http://schemas.microsoft.com/office/drawing/2014/chart" uri="{C3380CC4-5D6E-409C-BE32-E72D297353CC}">
              <c16:uniqueId val="{0000003B-6232-4A31-8AD3-35D8BD332703}"/>
            </c:ext>
          </c:extLst>
        </c:ser>
        <c:ser>
          <c:idx val="60"/>
          <c:order val="60"/>
          <c:tx>
            <c:strRef>
              <c:f>'Cleaned Data'!$A$62</c:f>
              <c:strCache>
                <c:ptCount val="1"/>
                <c:pt idx="0">
                  <c:v>Kujira</c:v>
                </c:pt>
              </c:strCache>
            </c:strRef>
          </c:tx>
          <c:spPr>
            <a:solidFill>
              <a:schemeClr val="accent1">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Data'!$F$62</c:f>
            </c:numRef>
          </c:val>
          <c:extLst>
            <c:ext xmlns:c16="http://schemas.microsoft.com/office/drawing/2014/chart" uri="{C3380CC4-5D6E-409C-BE32-E72D297353CC}">
              <c16:uniqueId val="{0000003C-6232-4A31-8AD3-35D8BD332703}"/>
            </c:ext>
          </c:extLst>
        </c:ser>
        <c:ser>
          <c:idx val="61"/>
          <c:order val="61"/>
          <c:tx>
            <c:strRef>
              <c:f>'Cleaned Data'!$A$63</c:f>
              <c:strCache>
                <c:ptCount val="1"/>
                <c:pt idx="0">
                  <c:v>Gains Network</c:v>
                </c:pt>
              </c:strCache>
            </c:strRef>
          </c:tx>
          <c:spPr>
            <a:solidFill>
              <a:schemeClr val="accent2">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Data'!$F$63</c:f>
            </c:numRef>
          </c:val>
          <c:extLst>
            <c:ext xmlns:c16="http://schemas.microsoft.com/office/drawing/2014/chart" uri="{C3380CC4-5D6E-409C-BE32-E72D297353CC}">
              <c16:uniqueId val="{0000003D-6232-4A31-8AD3-35D8BD332703}"/>
            </c:ext>
          </c:extLst>
        </c:ser>
        <c:ser>
          <c:idx val="62"/>
          <c:order val="62"/>
          <c:tx>
            <c:strRef>
              <c:f>'Cleaned Data'!$A$64</c:f>
              <c:strCache>
                <c:ptCount val="1"/>
                <c:pt idx="0">
                  <c:v>AVA (Travala)</c:v>
                </c:pt>
              </c:strCache>
            </c:strRef>
          </c:tx>
          <c:spPr>
            <a:solidFill>
              <a:schemeClr val="accent3">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Data'!$F$64</c:f>
            </c:numRef>
          </c:val>
          <c:extLst>
            <c:ext xmlns:c16="http://schemas.microsoft.com/office/drawing/2014/chart" uri="{C3380CC4-5D6E-409C-BE32-E72D297353CC}">
              <c16:uniqueId val="{0000003E-6232-4A31-8AD3-35D8BD332703}"/>
            </c:ext>
          </c:extLst>
        </c:ser>
        <c:ser>
          <c:idx val="63"/>
          <c:order val="63"/>
          <c:tx>
            <c:strRef>
              <c:f>'Cleaned Data'!$A$65</c:f>
              <c:strCache>
                <c:ptCount val="1"/>
                <c:pt idx="0">
                  <c:v>DEAPcoin</c:v>
                </c:pt>
              </c:strCache>
            </c:strRef>
          </c:tx>
          <c:spPr>
            <a:solidFill>
              <a:schemeClr val="accent4">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Data'!$F$65</c:f>
            </c:numRef>
          </c:val>
          <c:extLst>
            <c:ext xmlns:c16="http://schemas.microsoft.com/office/drawing/2014/chart" uri="{C3380CC4-5D6E-409C-BE32-E72D297353CC}">
              <c16:uniqueId val="{0000003F-6232-4A31-8AD3-35D8BD332703}"/>
            </c:ext>
          </c:extLst>
        </c:ser>
        <c:ser>
          <c:idx val="64"/>
          <c:order val="64"/>
          <c:tx>
            <c:strRef>
              <c:f>'Cleaned Data'!$A$66</c:f>
              <c:strCache>
                <c:ptCount val="1"/>
                <c:pt idx="0">
                  <c:v>The Arena</c:v>
                </c:pt>
              </c:strCache>
            </c:strRef>
          </c:tx>
          <c:spPr>
            <a:solidFill>
              <a:schemeClr val="accent5">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Data'!$F$66</c:f>
            </c:numRef>
          </c:val>
          <c:extLst>
            <c:ext xmlns:c16="http://schemas.microsoft.com/office/drawing/2014/chart" uri="{C3380CC4-5D6E-409C-BE32-E72D297353CC}">
              <c16:uniqueId val="{00000040-6232-4A31-8AD3-35D8BD332703}"/>
            </c:ext>
          </c:extLst>
        </c:ser>
        <c:ser>
          <c:idx val="65"/>
          <c:order val="65"/>
          <c:tx>
            <c:strRef>
              <c:f>'Cleaned Data'!$A$67</c:f>
              <c:strCache>
                <c:ptCount val="1"/>
                <c:pt idx="0">
                  <c:v>Dohrnii</c:v>
                </c:pt>
              </c:strCache>
            </c:strRef>
          </c:tx>
          <c:spPr>
            <a:solidFill>
              <a:schemeClr val="accent6">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Data'!$F$67</c:f>
            </c:numRef>
          </c:val>
          <c:extLst>
            <c:ext xmlns:c16="http://schemas.microsoft.com/office/drawing/2014/chart" uri="{C3380CC4-5D6E-409C-BE32-E72D297353CC}">
              <c16:uniqueId val="{00000041-6232-4A31-8AD3-35D8BD332703}"/>
            </c:ext>
          </c:extLst>
        </c:ser>
        <c:ser>
          <c:idx val="66"/>
          <c:order val="66"/>
          <c:tx>
            <c:strRef>
              <c:f>'Cleaned Data'!$A$68</c:f>
              <c:strCache>
                <c:ptCount val="1"/>
                <c:pt idx="0">
                  <c:v>Ampleforth Governance Token</c:v>
                </c:pt>
              </c:strCache>
            </c:strRef>
          </c:tx>
          <c:spPr>
            <a:solidFill>
              <a:schemeClr val="accent1">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Data'!$F$68</c:f>
            </c:numRef>
          </c:val>
          <c:extLst>
            <c:ext xmlns:c16="http://schemas.microsoft.com/office/drawing/2014/chart" uri="{C3380CC4-5D6E-409C-BE32-E72D297353CC}">
              <c16:uniqueId val="{00000042-6232-4A31-8AD3-35D8BD332703}"/>
            </c:ext>
          </c:extLst>
        </c:ser>
        <c:ser>
          <c:idx val="67"/>
          <c:order val="67"/>
          <c:tx>
            <c:strRef>
              <c:f>'Cleaned Data'!$A$69</c:f>
              <c:strCache>
                <c:ptCount val="1"/>
                <c:pt idx="0">
                  <c:v>Metadium</c:v>
                </c:pt>
              </c:strCache>
            </c:strRef>
          </c:tx>
          <c:spPr>
            <a:solidFill>
              <a:schemeClr val="accent2">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Data'!$F$69</c:f>
            </c:numRef>
          </c:val>
          <c:extLst>
            <c:ext xmlns:c16="http://schemas.microsoft.com/office/drawing/2014/chart" uri="{C3380CC4-5D6E-409C-BE32-E72D297353CC}">
              <c16:uniqueId val="{00000043-6232-4A31-8AD3-35D8BD332703}"/>
            </c:ext>
          </c:extLst>
        </c:ser>
        <c:ser>
          <c:idx val="68"/>
          <c:order val="68"/>
          <c:tx>
            <c:strRef>
              <c:f>'Cleaned Data'!$A$70</c:f>
              <c:strCache>
                <c:ptCount val="1"/>
                <c:pt idx="0">
                  <c:v>Shentu</c:v>
                </c:pt>
              </c:strCache>
            </c:strRef>
          </c:tx>
          <c:spPr>
            <a:solidFill>
              <a:schemeClr val="accent3">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Data'!$F$70</c:f>
            </c:numRef>
          </c:val>
          <c:extLst>
            <c:ext xmlns:c16="http://schemas.microsoft.com/office/drawing/2014/chart" uri="{C3380CC4-5D6E-409C-BE32-E72D297353CC}">
              <c16:uniqueId val="{00000044-6232-4A31-8AD3-35D8BD332703}"/>
            </c:ext>
          </c:extLst>
        </c:ser>
        <c:ser>
          <c:idx val="69"/>
          <c:order val="69"/>
          <c:tx>
            <c:strRef>
              <c:f>'Cleaned Data'!$A$71</c:f>
              <c:strCache>
                <c:ptCount val="1"/>
                <c:pt idx="0">
                  <c:v>Nakamoto Games</c:v>
                </c:pt>
              </c:strCache>
            </c:strRef>
          </c:tx>
          <c:spPr>
            <a:solidFill>
              <a:schemeClr val="accent4">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Data'!$F$71</c:f>
            </c:numRef>
          </c:val>
          <c:extLst>
            <c:ext xmlns:c16="http://schemas.microsoft.com/office/drawing/2014/chart" uri="{C3380CC4-5D6E-409C-BE32-E72D297353CC}">
              <c16:uniqueId val="{00000045-6232-4A31-8AD3-35D8BD332703}"/>
            </c:ext>
          </c:extLst>
        </c:ser>
        <c:ser>
          <c:idx val="70"/>
          <c:order val="70"/>
          <c:tx>
            <c:strRef>
              <c:f>'Cleaned Data'!$A$72</c:f>
              <c:strCache>
                <c:ptCount val="1"/>
                <c:pt idx="0">
                  <c:v>Groestlcoin</c:v>
                </c:pt>
              </c:strCache>
            </c:strRef>
          </c:tx>
          <c:spPr>
            <a:solidFill>
              <a:schemeClr val="accent5">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Data'!$F$72</c:f>
            </c:numRef>
          </c:val>
          <c:extLst>
            <c:ext xmlns:c16="http://schemas.microsoft.com/office/drawing/2014/chart" uri="{C3380CC4-5D6E-409C-BE32-E72D297353CC}">
              <c16:uniqueId val="{00000046-6232-4A31-8AD3-35D8BD332703}"/>
            </c:ext>
          </c:extLst>
        </c:ser>
        <c:ser>
          <c:idx val="71"/>
          <c:order val="71"/>
          <c:tx>
            <c:strRef>
              <c:f>'Cleaned Data'!$A$73</c:f>
              <c:strCache>
                <c:ptCount val="1"/>
                <c:pt idx="0">
                  <c:v>Sui Name Service</c:v>
                </c:pt>
              </c:strCache>
            </c:strRef>
          </c:tx>
          <c:spPr>
            <a:solidFill>
              <a:schemeClr val="accent6">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Data'!$F$73</c:f>
            </c:numRef>
          </c:val>
          <c:extLst>
            <c:ext xmlns:c16="http://schemas.microsoft.com/office/drawing/2014/chart" uri="{C3380CC4-5D6E-409C-BE32-E72D297353CC}">
              <c16:uniqueId val="{00000047-6232-4A31-8AD3-35D8BD332703}"/>
            </c:ext>
          </c:extLst>
        </c:ser>
        <c:ser>
          <c:idx val="72"/>
          <c:order val="72"/>
          <c:tx>
            <c:strRef>
              <c:f>'Cleaned Data'!$A$74</c:f>
              <c:strCache>
                <c:ptCount val="1"/>
                <c:pt idx="0">
                  <c:v>Haedal Protocol</c:v>
                </c:pt>
              </c:strCache>
            </c:strRef>
          </c:tx>
          <c:spPr>
            <a:solidFill>
              <a:schemeClr val="accent1">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Data'!$F$74</c:f>
            </c:numRef>
          </c:val>
          <c:extLst>
            <c:ext xmlns:c16="http://schemas.microsoft.com/office/drawing/2014/chart" uri="{C3380CC4-5D6E-409C-BE32-E72D297353CC}">
              <c16:uniqueId val="{00000048-6232-4A31-8AD3-35D8BD332703}"/>
            </c:ext>
          </c:extLst>
        </c:ser>
        <c:ser>
          <c:idx val="73"/>
          <c:order val="73"/>
          <c:tx>
            <c:strRef>
              <c:f>'Cleaned Data'!$A$75</c:f>
              <c:strCache>
                <c:ptCount val="1"/>
                <c:pt idx="0">
                  <c:v>Fractal Bitcoin</c:v>
                </c:pt>
              </c:strCache>
            </c:strRef>
          </c:tx>
          <c:spPr>
            <a:solidFill>
              <a:schemeClr val="accent2">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Data'!$F$75</c:f>
            </c:numRef>
          </c:val>
          <c:extLst>
            <c:ext xmlns:c16="http://schemas.microsoft.com/office/drawing/2014/chart" uri="{C3380CC4-5D6E-409C-BE32-E72D297353CC}">
              <c16:uniqueId val="{00000049-6232-4A31-8AD3-35D8BD332703}"/>
            </c:ext>
          </c:extLst>
        </c:ser>
        <c:ser>
          <c:idx val="74"/>
          <c:order val="74"/>
          <c:tx>
            <c:strRef>
              <c:f>'Cleaned Data'!$A$76</c:f>
              <c:strCache>
                <c:ptCount val="1"/>
                <c:pt idx="0">
                  <c:v>PlatON</c:v>
                </c:pt>
              </c:strCache>
            </c:strRef>
          </c:tx>
          <c:spPr>
            <a:solidFill>
              <a:schemeClr val="accent3">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Data'!$F$76</c:f>
            </c:numRef>
          </c:val>
          <c:extLst>
            <c:ext xmlns:c16="http://schemas.microsoft.com/office/drawing/2014/chart" uri="{C3380CC4-5D6E-409C-BE32-E72D297353CC}">
              <c16:uniqueId val="{0000004A-6232-4A31-8AD3-35D8BD332703}"/>
            </c:ext>
          </c:extLst>
        </c:ser>
        <c:ser>
          <c:idx val="75"/>
          <c:order val="75"/>
          <c:tx>
            <c:strRef>
              <c:f>'Cleaned Data'!$A$77</c:f>
              <c:strCache>
                <c:ptCount val="1"/>
                <c:pt idx="0">
                  <c:v>NFPrompt</c:v>
                </c:pt>
              </c:strCache>
            </c:strRef>
          </c:tx>
          <c:spPr>
            <a:solidFill>
              <a:schemeClr val="accent4">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Data'!$F$77</c:f>
            </c:numRef>
          </c:val>
          <c:extLst>
            <c:ext xmlns:c16="http://schemas.microsoft.com/office/drawing/2014/chart" uri="{C3380CC4-5D6E-409C-BE32-E72D297353CC}">
              <c16:uniqueId val="{0000004B-6232-4A31-8AD3-35D8BD332703}"/>
            </c:ext>
          </c:extLst>
        </c:ser>
        <c:ser>
          <c:idx val="76"/>
          <c:order val="76"/>
          <c:tx>
            <c:strRef>
              <c:f>'Cleaned Data'!$A$78</c:f>
              <c:strCache>
                <c:ptCount val="1"/>
                <c:pt idx="0">
                  <c:v>Orbiter Finance</c:v>
                </c:pt>
              </c:strCache>
            </c:strRef>
          </c:tx>
          <c:spPr>
            <a:solidFill>
              <a:schemeClr val="accent5">
                <a:lumMod val="80000"/>
                <a:alpha val="85000"/>
              </a:schemeClr>
            </a:solidFill>
            <a:ln w="9525" cap="flat" cmpd="sng" algn="ctr">
              <a:solidFill>
                <a:schemeClr val="lt1">
                  <a:alpha val="50000"/>
                </a:schemeClr>
              </a:solidFill>
              <a:round/>
            </a:ln>
            <a:effectLst/>
          </c:spPr>
          <c:invertIfNegative val="0"/>
          <c:dLbls>
            <c:delete val="1"/>
          </c:dLbls>
          <c:cat>
            <c:strRef>
              <c:f>'Cleaned Data'!$F$1</c:f>
              <c:strCache>
                <c:ptCount val="1"/>
                <c:pt idx="0">
                  <c:v> Volume (24) USD_cleaned </c:v>
                </c:pt>
              </c:strCache>
            </c:strRef>
          </c:cat>
          <c:val>
            <c:numRef>
              <c:f>'Cleaned Data'!$F$78</c:f>
              <c:numCache>
                <c:formatCode>_("$"* #,##0_);_("$"* \(#,##0\);_("$"* "-"??_);_(@_)</c:formatCode>
                <c:ptCount val="1"/>
                <c:pt idx="0">
                  <c:v>40860347</c:v>
                </c:pt>
              </c:numCache>
            </c:numRef>
          </c:val>
          <c:extLst>
            <c:ext xmlns:c16="http://schemas.microsoft.com/office/drawing/2014/chart" uri="{C3380CC4-5D6E-409C-BE32-E72D297353CC}">
              <c16:uniqueId val="{0000004C-6232-4A31-8AD3-35D8BD332703}"/>
            </c:ext>
          </c:extLst>
        </c:ser>
        <c:ser>
          <c:idx val="77"/>
          <c:order val="77"/>
          <c:tx>
            <c:strRef>
              <c:f>'Cleaned Data'!$A$79</c:f>
              <c:strCache>
                <c:ptCount val="1"/>
                <c:pt idx="0">
                  <c:v>Covalent X Token</c:v>
                </c:pt>
              </c:strCache>
            </c:strRef>
          </c:tx>
          <c:spPr>
            <a:solidFill>
              <a:schemeClr val="accent6">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Data'!$F$79</c:f>
            </c:numRef>
          </c:val>
          <c:extLst>
            <c:ext xmlns:c16="http://schemas.microsoft.com/office/drawing/2014/chart" uri="{C3380CC4-5D6E-409C-BE32-E72D297353CC}">
              <c16:uniqueId val="{0000004D-6232-4A31-8AD3-35D8BD332703}"/>
            </c:ext>
          </c:extLst>
        </c:ser>
        <c:ser>
          <c:idx val="78"/>
          <c:order val="78"/>
          <c:tx>
            <c:strRef>
              <c:f>'Cleaned Data'!$A$80</c:f>
              <c:strCache>
                <c:ptCount val="1"/>
                <c:pt idx="0">
                  <c:v>OMG Network</c:v>
                </c:pt>
              </c:strCache>
            </c:strRef>
          </c:tx>
          <c:spPr>
            <a:solidFill>
              <a:schemeClr val="accent1">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Data'!$F$80</c:f>
            </c:numRef>
          </c:val>
          <c:extLst>
            <c:ext xmlns:c16="http://schemas.microsoft.com/office/drawing/2014/chart" uri="{C3380CC4-5D6E-409C-BE32-E72D297353CC}">
              <c16:uniqueId val="{0000004E-6232-4A31-8AD3-35D8BD332703}"/>
            </c:ext>
          </c:extLst>
        </c:ser>
        <c:ser>
          <c:idx val="79"/>
          <c:order val="79"/>
          <c:tx>
            <c:strRef>
              <c:f>'Cleaned Data'!$A$81</c:f>
              <c:strCache>
                <c:ptCount val="1"/>
                <c:pt idx="0">
                  <c:v>Radiant Capital</c:v>
                </c:pt>
              </c:strCache>
            </c:strRef>
          </c:tx>
          <c:spPr>
            <a:solidFill>
              <a:schemeClr val="accent2">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Data'!$F$81</c:f>
            </c:numRef>
          </c:val>
          <c:extLst>
            <c:ext xmlns:c16="http://schemas.microsoft.com/office/drawing/2014/chart" uri="{C3380CC4-5D6E-409C-BE32-E72D297353CC}">
              <c16:uniqueId val="{0000004F-6232-4A31-8AD3-35D8BD332703}"/>
            </c:ext>
          </c:extLst>
        </c:ser>
        <c:ser>
          <c:idx val="80"/>
          <c:order val="80"/>
          <c:tx>
            <c:strRef>
              <c:f>'Cleaned Data'!$A$82</c:f>
              <c:strCache>
                <c:ptCount val="1"/>
                <c:pt idx="0">
                  <c:v>Klever Coin</c:v>
                </c:pt>
              </c:strCache>
            </c:strRef>
          </c:tx>
          <c:spPr>
            <a:solidFill>
              <a:schemeClr val="accent3">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Data'!$F$82</c:f>
            </c:numRef>
          </c:val>
          <c:extLst>
            <c:ext xmlns:c16="http://schemas.microsoft.com/office/drawing/2014/chart" uri="{C3380CC4-5D6E-409C-BE32-E72D297353CC}">
              <c16:uniqueId val="{00000050-6232-4A31-8AD3-35D8BD332703}"/>
            </c:ext>
          </c:extLst>
        </c:ser>
        <c:ser>
          <c:idx val="81"/>
          <c:order val="81"/>
          <c:tx>
            <c:strRef>
              <c:f>'Cleaned Data'!$A$83</c:f>
              <c:strCache>
                <c:ptCount val="1"/>
                <c:pt idx="0">
                  <c:v>Pups (Bitcoin)</c:v>
                </c:pt>
              </c:strCache>
            </c:strRef>
          </c:tx>
          <c:spPr>
            <a:solidFill>
              <a:schemeClr val="accent4">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Data'!$F$83</c:f>
            </c:numRef>
          </c:val>
          <c:extLst>
            <c:ext xmlns:c16="http://schemas.microsoft.com/office/drawing/2014/chart" uri="{C3380CC4-5D6E-409C-BE32-E72D297353CC}">
              <c16:uniqueId val="{00000051-6232-4A31-8AD3-35D8BD332703}"/>
            </c:ext>
          </c:extLst>
        </c:ser>
        <c:ser>
          <c:idx val="82"/>
          <c:order val="82"/>
          <c:tx>
            <c:strRef>
              <c:f>'Cleaned Data'!$A$84</c:f>
              <c:strCache>
                <c:ptCount val="1"/>
                <c:pt idx="0">
                  <c:v>NATIX Network</c:v>
                </c:pt>
              </c:strCache>
            </c:strRef>
          </c:tx>
          <c:spPr>
            <a:solidFill>
              <a:schemeClr val="accent5">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Data'!$F$84</c:f>
            </c:numRef>
          </c:val>
          <c:extLst>
            <c:ext xmlns:c16="http://schemas.microsoft.com/office/drawing/2014/chart" uri="{C3380CC4-5D6E-409C-BE32-E72D297353CC}">
              <c16:uniqueId val="{00000052-6232-4A31-8AD3-35D8BD332703}"/>
            </c:ext>
          </c:extLst>
        </c:ser>
        <c:ser>
          <c:idx val="83"/>
          <c:order val="83"/>
          <c:tx>
            <c:strRef>
              <c:f>'Cleaned Data'!$A$85</c:f>
              <c:strCache>
                <c:ptCount val="1"/>
                <c:pt idx="0">
                  <c:v>ORIGYN</c:v>
                </c:pt>
              </c:strCache>
            </c:strRef>
          </c:tx>
          <c:spPr>
            <a:solidFill>
              <a:schemeClr val="accent6">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Data'!$F$85</c:f>
            </c:numRef>
          </c:val>
          <c:extLst>
            <c:ext xmlns:c16="http://schemas.microsoft.com/office/drawing/2014/chart" uri="{C3380CC4-5D6E-409C-BE32-E72D297353CC}">
              <c16:uniqueId val="{00000053-6232-4A31-8AD3-35D8BD332703}"/>
            </c:ext>
          </c:extLst>
        </c:ser>
        <c:ser>
          <c:idx val="84"/>
          <c:order val="84"/>
          <c:tx>
            <c:strRef>
              <c:f>'Cleaned Data'!$A$86</c:f>
              <c:strCache>
                <c:ptCount val="1"/>
                <c:pt idx="0">
                  <c:v>Daddy Tate</c:v>
                </c:pt>
              </c:strCache>
            </c:strRef>
          </c:tx>
          <c:spPr>
            <a:solidFill>
              <a:schemeClr val="accent1">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Data'!$F$86</c:f>
            </c:numRef>
          </c:val>
          <c:extLst>
            <c:ext xmlns:c16="http://schemas.microsoft.com/office/drawing/2014/chart" uri="{C3380CC4-5D6E-409C-BE32-E72D297353CC}">
              <c16:uniqueId val="{00000054-6232-4A31-8AD3-35D8BD332703}"/>
            </c:ext>
          </c:extLst>
        </c:ser>
        <c:ser>
          <c:idx val="85"/>
          <c:order val="85"/>
          <c:tx>
            <c:strRef>
              <c:f>'Cleaned Data'!$A$87</c:f>
              <c:strCache>
                <c:ptCount val="1"/>
                <c:pt idx="0">
                  <c:v>Impossible Finance Launchpad</c:v>
                </c:pt>
              </c:strCache>
            </c:strRef>
          </c:tx>
          <c:spPr>
            <a:solidFill>
              <a:schemeClr val="accent2">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Data'!$F$87</c:f>
            </c:numRef>
          </c:val>
          <c:extLst>
            <c:ext xmlns:c16="http://schemas.microsoft.com/office/drawing/2014/chart" uri="{C3380CC4-5D6E-409C-BE32-E72D297353CC}">
              <c16:uniqueId val="{00000055-6232-4A31-8AD3-35D8BD332703}"/>
            </c:ext>
          </c:extLst>
        </c:ser>
        <c:ser>
          <c:idx val="86"/>
          <c:order val="86"/>
          <c:tx>
            <c:strRef>
              <c:f>'Cleaned Data'!$A$88</c:f>
              <c:strCache>
                <c:ptCount val="1"/>
                <c:pt idx="0">
                  <c:v>League of Kingdoms Arena</c:v>
                </c:pt>
              </c:strCache>
            </c:strRef>
          </c:tx>
          <c:spPr>
            <a:solidFill>
              <a:schemeClr val="accent3">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Data'!$F$88</c:f>
            </c:numRef>
          </c:val>
          <c:extLst>
            <c:ext xmlns:c16="http://schemas.microsoft.com/office/drawing/2014/chart" uri="{C3380CC4-5D6E-409C-BE32-E72D297353CC}">
              <c16:uniqueId val="{00000056-6232-4A31-8AD3-35D8BD332703}"/>
            </c:ext>
          </c:extLst>
        </c:ser>
        <c:ser>
          <c:idx val="87"/>
          <c:order val="87"/>
          <c:tx>
            <c:strRef>
              <c:f>'Cleaned Data'!$A$89</c:f>
              <c:strCache>
                <c:ptCount val="1"/>
                <c:pt idx="0">
                  <c:v>Mango</c:v>
                </c:pt>
              </c:strCache>
            </c:strRef>
          </c:tx>
          <c:spPr>
            <a:solidFill>
              <a:schemeClr val="accent4">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Data'!$F$89</c:f>
            </c:numRef>
          </c:val>
          <c:extLst>
            <c:ext xmlns:c16="http://schemas.microsoft.com/office/drawing/2014/chart" uri="{C3380CC4-5D6E-409C-BE32-E72D297353CC}">
              <c16:uniqueId val="{00000057-6232-4A31-8AD3-35D8BD332703}"/>
            </c:ext>
          </c:extLst>
        </c:ser>
        <c:ser>
          <c:idx val="88"/>
          <c:order val="88"/>
          <c:tx>
            <c:strRef>
              <c:f>'Cleaned Data'!$A$90</c:f>
              <c:strCache>
                <c:ptCount val="1"/>
                <c:pt idx="0">
                  <c:v>DAR Open Network</c:v>
                </c:pt>
              </c:strCache>
            </c:strRef>
          </c:tx>
          <c:spPr>
            <a:solidFill>
              <a:schemeClr val="accent5">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Data'!$F$90</c:f>
            </c:numRef>
          </c:val>
          <c:extLst>
            <c:ext xmlns:c16="http://schemas.microsoft.com/office/drawing/2014/chart" uri="{C3380CC4-5D6E-409C-BE32-E72D297353CC}">
              <c16:uniqueId val="{00000058-6232-4A31-8AD3-35D8BD332703}"/>
            </c:ext>
          </c:extLst>
        </c:ser>
        <c:ser>
          <c:idx val="89"/>
          <c:order val="89"/>
          <c:tx>
            <c:strRef>
              <c:f>'Cleaned Data'!$A$91</c:f>
              <c:strCache>
                <c:ptCount val="1"/>
                <c:pt idx="0">
                  <c:v>Alaya Governance Token</c:v>
                </c:pt>
              </c:strCache>
            </c:strRef>
          </c:tx>
          <c:spPr>
            <a:solidFill>
              <a:schemeClr val="accent6">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Data'!$F$91</c:f>
            </c:numRef>
          </c:val>
          <c:extLst>
            <c:ext xmlns:c16="http://schemas.microsoft.com/office/drawing/2014/chart" uri="{C3380CC4-5D6E-409C-BE32-E72D297353CC}">
              <c16:uniqueId val="{00000059-6232-4A31-8AD3-35D8BD332703}"/>
            </c:ext>
          </c:extLst>
        </c:ser>
        <c:ser>
          <c:idx val="90"/>
          <c:order val="90"/>
          <c:tx>
            <c:strRef>
              <c:f>'Cleaned Data'!$A$92</c:f>
              <c:strCache>
                <c:ptCount val="1"/>
                <c:pt idx="0">
                  <c:v>Port3 Network</c:v>
                </c:pt>
              </c:strCache>
            </c:strRef>
          </c:tx>
          <c:spPr>
            <a:solidFill>
              <a:schemeClr val="accent1">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Data'!$F$92</c:f>
            </c:numRef>
          </c:val>
          <c:extLst>
            <c:ext xmlns:c16="http://schemas.microsoft.com/office/drawing/2014/chart" uri="{C3380CC4-5D6E-409C-BE32-E72D297353CC}">
              <c16:uniqueId val="{0000005A-6232-4A31-8AD3-35D8BD332703}"/>
            </c:ext>
          </c:extLst>
        </c:ser>
        <c:ser>
          <c:idx val="91"/>
          <c:order val="91"/>
          <c:tx>
            <c:strRef>
              <c:f>'Cleaned Data'!$A$93</c:f>
              <c:strCache>
                <c:ptCount val="1"/>
                <c:pt idx="0">
                  <c:v>SIX Token</c:v>
                </c:pt>
              </c:strCache>
            </c:strRef>
          </c:tx>
          <c:spPr>
            <a:solidFill>
              <a:schemeClr val="accent2">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Data'!$F$93</c:f>
            </c:numRef>
          </c:val>
          <c:extLst>
            <c:ext xmlns:c16="http://schemas.microsoft.com/office/drawing/2014/chart" uri="{C3380CC4-5D6E-409C-BE32-E72D297353CC}">
              <c16:uniqueId val="{0000005B-6232-4A31-8AD3-35D8BD332703}"/>
            </c:ext>
          </c:extLst>
        </c:ser>
        <c:ser>
          <c:idx val="92"/>
          <c:order val="92"/>
          <c:tx>
            <c:strRef>
              <c:f>'Cleaned Data'!$A$94</c:f>
              <c:strCache>
                <c:ptCount val="1"/>
                <c:pt idx="0">
                  <c:v>Cult DAO</c:v>
                </c:pt>
              </c:strCache>
            </c:strRef>
          </c:tx>
          <c:spPr>
            <a:solidFill>
              <a:schemeClr val="accent3">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Data'!$F$94</c:f>
            </c:numRef>
          </c:val>
          <c:extLst>
            <c:ext xmlns:c16="http://schemas.microsoft.com/office/drawing/2014/chart" uri="{C3380CC4-5D6E-409C-BE32-E72D297353CC}">
              <c16:uniqueId val="{0000005C-6232-4A31-8AD3-35D8BD332703}"/>
            </c:ext>
          </c:extLst>
        </c:ser>
        <c:ser>
          <c:idx val="93"/>
          <c:order val="93"/>
          <c:tx>
            <c:strRef>
              <c:f>'Cleaned Data'!$A$95</c:f>
              <c:strCache>
                <c:ptCount val="1"/>
                <c:pt idx="0">
                  <c:v>crow with knife</c:v>
                </c:pt>
              </c:strCache>
            </c:strRef>
          </c:tx>
          <c:spPr>
            <a:solidFill>
              <a:schemeClr val="accent4">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Data'!$F$95</c:f>
            </c:numRef>
          </c:val>
          <c:extLst>
            <c:ext xmlns:c16="http://schemas.microsoft.com/office/drawing/2014/chart" uri="{C3380CC4-5D6E-409C-BE32-E72D297353CC}">
              <c16:uniqueId val="{0000005D-6232-4A31-8AD3-35D8BD332703}"/>
            </c:ext>
          </c:extLst>
        </c:ser>
        <c:ser>
          <c:idx val="94"/>
          <c:order val="94"/>
          <c:tx>
            <c:strRef>
              <c:f>'Cleaned Data'!$A$96</c:f>
              <c:strCache>
                <c:ptCount val="1"/>
                <c:pt idx="0">
                  <c:v>Cortex</c:v>
                </c:pt>
              </c:strCache>
            </c:strRef>
          </c:tx>
          <c:spPr>
            <a:solidFill>
              <a:schemeClr val="accent5">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Data'!$F$96</c:f>
            </c:numRef>
          </c:val>
          <c:extLst>
            <c:ext xmlns:c16="http://schemas.microsoft.com/office/drawing/2014/chart" uri="{C3380CC4-5D6E-409C-BE32-E72D297353CC}">
              <c16:uniqueId val="{0000005E-6232-4A31-8AD3-35D8BD332703}"/>
            </c:ext>
          </c:extLst>
        </c:ser>
        <c:ser>
          <c:idx val="95"/>
          <c:order val="95"/>
          <c:tx>
            <c:strRef>
              <c:f>'Cleaned Data'!$A$97</c:f>
              <c:strCache>
                <c:ptCount val="1"/>
                <c:pt idx="0">
                  <c:v>Paris Saint-Germain Fan Token</c:v>
                </c:pt>
              </c:strCache>
            </c:strRef>
          </c:tx>
          <c:spPr>
            <a:solidFill>
              <a:schemeClr val="accent6">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Data'!$F$97</c:f>
            </c:numRef>
          </c:val>
          <c:extLst>
            <c:ext xmlns:c16="http://schemas.microsoft.com/office/drawing/2014/chart" uri="{C3380CC4-5D6E-409C-BE32-E72D297353CC}">
              <c16:uniqueId val="{0000005F-6232-4A31-8AD3-35D8BD332703}"/>
            </c:ext>
          </c:extLst>
        </c:ser>
        <c:ser>
          <c:idx val="96"/>
          <c:order val="96"/>
          <c:tx>
            <c:strRef>
              <c:f>'Cleaned Data'!$A$98</c:f>
              <c:strCache>
                <c:ptCount val="1"/>
                <c:pt idx="0">
                  <c:v>Comtech Gold</c:v>
                </c:pt>
              </c:strCache>
            </c:strRef>
          </c:tx>
          <c:spPr>
            <a:solidFill>
              <a:schemeClr val="accent1">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Data'!$F$98</c:f>
            </c:numRef>
          </c:val>
          <c:extLst>
            <c:ext xmlns:c16="http://schemas.microsoft.com/office/drawing/2014/chart" uri="{C3380CC4-5D6E-409C-BE32-E72D297353CC}">
              <c16:uniqueId val="{00000060-6232-4A31-8AD3-35D8BD332703}"/>
            </c:ext>
          </c:extLst>
        </c:ser>
        <c:ser>
          <c:idx val="97"/>
          <c:order val="97"/>
          <c:tx>
            <c:strRef>
              <c:f>'Cleaned Data'!$A$99</c:f>
              <c:strCache>
                <c:ptCount val="1"/>
                <c:pt idx="0">
                  <c:v>Definitive</c:v>
                </c:pt>
              </c:strCache>
            </c:strRef>
          </c:tx>
          <c:spPr>
            <a:solidFill>
              <a:schemeClr val="accent2">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Data'!$F$99</c:f>
            </c:numRef>
          </c:val>
          <c:extLst>
            <c:ext xmlns:c16="http://schemas.microsoft.com/office/drawing/2014/chart" uri="{C3380CC4-5D6E-409C-BE32-E72D297353CC}">
              <c16:uniqueId val="{00000061-6232-4A31-8AD3-35D8BD332703}"/>
            </c:ext>
          </c:extLst>
        </c:ser>
        <c:ser>
          <c:idx val="98"/>
          <c:order val="98"/>
          <c:tx>
            <c:strRef>
              <c:f>'Cleaned Data'!$A$100</c:f>
              <c:strCache>
                <c:ptCount val="1"/>
                <c:pt idx="0">
                  <c:v>Contentos</c:v>
                </c:pt>
              </c:strCache>
            </c:strRef>
          </c:tx>
          <c:spPr>
            <a:solidFill>
              <a:schemeClr val="accent3">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Data'!$F$100</c:f>
            </c:numRef>
          </c:val>
          <c:extLst>
            <c:ext xmlns:c16="http://schemas.microsoft.com/office/drawing/2014/chart" uri="{C3380CC4-5D6E-409C-BE32-E72D297353CC}">
              <c16:uniqueId val="{00000062-6232-4A31-8AD3-35D8BD332703}"/>
            </c:ext>
          </c:extLst>
        </c:ser>
        <c:ser>
          <c:idx val="99"/>
          <c:order val="99"/>
          <c:tx>
            <c:strRef>
              <c:f>'Cleaned Data'!$A$101</c:f>
              <c:strCache>
                <c:ptCount val="1"/>
                <c:pt idx="0">
                  <c:v>Step Finance</c:v>
                </c:pt>
              </c:strCache>
            </c:strRef>
          </c:tx>
          <c:spPr>
            <a:solidFill>
              <a:schemeClr val="accent4">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Data'!$F$101</c:f>
            </c:numRef>
          </c:val>
          <c:extLst>
            <c:ext xmlns:c16="http://schemas.microsoft.com/office/drawing/2014/chart" uri="{C3380CC4-5D6E-409C-BE32-E72D297353CC}">
              <c16:uniqueId val="{00000063-6232-4A31-8AD3-35D8BD332703}"/>
            </c:ext>
          </c:extLst>
        </c:ser>
        <c:ser>
          <c:idx val="100"/>
          <c:order val="100"/>
          <c:tx>
            <c:strRef>
              <c:f>'Cleaned Data'!$A$102</c:f>
              <c:strCache>
                <c:ptCount val="1"/>
                <c:pt idx="0">
                  <c:v>OctaSpace</c:v>
                </c:pt>
              </c:strCache>
            </c:strRef>
          </c:tx>
          <c:spPr>
            <a:solidFill>
              <a:schemeClr val="accent5">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Data'!$F$102</c:f>
            </c:numRef>
          </c:val>
          <c:extLst>
            <c:ext xmlns:c16="http://schemas.microsoft.com/office/drawing/2014/chart" uri="{C3380CC4-5D6E-409C-BE32-E72D297353CC}">
              <c16:uniqueId val="{00000064-6232-4A31-8AD3-35D8BD332703}"/>
            </c:ext>
          </c:extLst>
        </c:ser>
        <c:ser>
          <c:idx val="101"/>
          <c:order val="101"/>
          <c:tx>
            <c:strRef>
              <c:f>'Cleaned Data'!$A$103</c:f>
              <c:strCache>
                <c:ptCount val="1"/>
                <c:pt idx="0">
                  <c:v>Aura Finance</c:v>
                </c:pt>
              </c:strCache>
            </c:strRef>
          </c:tx>
          <c:spPr>
            <a:solidFill>
              <a:schemeClr val="accent6">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Data'!$F$103</c:f>
            </c:numRef>
          </c:val>
          <c:extLst>
            <c:ext xmlns:c16="http://schemas.microsoft.com/office/drawing/2014/chart" uri="{C3380CC4-5D6E-409C-BE32-E72D297353CC}">
              <c16:uniqueId val="{00000065-6232-4A31-8AD3-35D8BD332703}"/>
            </c:ext>
          </c:extLst>
        </c:ser>
        <c:ser>
          <c:idx val="102"/>
          <c:order val="102"/>
          <c:tx>
            <c:strRef>
              <c:f>'Cleaned Data'!$A$104</c:f>
              <c:strCache>
                <c:ptCount val="1"/>
                <c:pt idx="0">
                  <c:v>PIBBLE</c:v>
                </c:pt>
              </c:strCache>
            </c:strRef>
          </c:tx>
          <c:spPr>
            <a:solidFill>
              <a:schemeClr val="accent1">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Data'!$F$104</c:f>
            </c:numRef>
          </c:val>
          <c:extLst>
            <c:ext xmlns:c16="http://schemas.microsoft.com/office/drawing/2014/chart" uri="{C3380CC4-5D6E-409C-BE32-E72D297353CC}">
              <c16:uniqueId val="{00000066-6232-4A31-8AD3-35D8BD332703}"/>
            </c:ext>
          </c:extLst>
        </c:ser>
        <c:ser>
          <c:idx val="103"/>
          <c:order val="103"/>
          <c:tx>
            <c:strRef>
              <c:f>'Cleaned Data'!$A$105</c:f>
              <c:strCache>
                <c:ptCount val="1"/>
                <c:pt idx="0">
                  <c:v>U2U Network</c:v>
                </c:pt>
              </c:strCache>
            </c:strRef>
          </c:tx>
          <c:spPr>
            <a:solidFill>
              <a:schemeClr val="accent2">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Data'!$F$105</c:f>
            </c:numRef>
          </c:val>
          <c:extLst>
            <c:ext xmlns:c16="http://schemas.microsoft.com/office/drawing/2014/chart" uri="{C3380CC4-5D6E-409C-BE32-E72D297353CC}">
              <c16:uniqueId val="{00000067-6232-4A31-8AD3-35D8BD332703}"/>
            </c:ext>
          </c:extLst>
        </c:ser>
        <c:ser>
          <c:idx val="104"/>
          <c:order val="104"/>
          <c:tx>
            <c:strRef>
              <c:f>'Cleaned Data'!$A$106</c:f>
              <c:strCache>
                <c:ptCount val="1"/>
                <c:pt idx="0">
                  <c:v>Persistence One</c:v>
                </c:pt>
              </c:strCache>
            </c:strRef>
          </c:tx>
          <c:spPr>
            <a:solidFill>
              <a:schemeClr val="accent3">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Data'!$F$106</c:f>
            </c:numRef>
          </c:val>
          <c:extLst>
            <c:ext xmlns:c16="http://schemas.microsoft.com/office/drawing/2014/chart" uri="{C3380CC4-5D6E-409C-BE32-E72D297353CC}">
              <c16:uniqueId val="{00000068-6232-4A31-8AD3-35D8BD332703}"/>
            </c:ext>
          </c:extLst>
        </c:ser>
        <c:ser>
          <c:idx val="105"/>
          <c:order val="105"/>
          <c:tx>
            <c:strRef>
              <c:f>'Cleaned Data'!$A$107</c:f>
              <c:strCache>
                <c:ptCount val="1"/>
                <c:pt idx="0">
                  <c:v>TROLL (SOL)</c:v>
                </c:pt>
              </c:strCache>
            </c:strRef>
          </c:tx>
          <c:spPr>
            <a:solidFill>
              <a:schemeClr val="accent4">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Data'!$F$107</c:f>
            </c:numRef>
          </c:val>
          <c:extLst>
            <c:ext xmlns:c16="http://schemas.microsoft.com/office/drawing/2014/chart" uri="{C3380CC4-5D6E-409C-BE32-E72D297353CC}">
              <c16:uniqueId val="{00000069-6232-4A31-8AD3-35D8BD332703}"/>
            </c:ext>
          </c:extLst>
        </c:ser>
        <c:ser>
          <c:idx val="106"/>
          <c:order val="106"/>
          <c:tx>
            <c:strRef>
              <c:f>'Cleaned Data'!$A$108</c:f>
              <c:strCache>
                <c:ptCount val="1"/>
                <c:pt idx="0">
                  <c:v>WeFi</c:v>
                </c:pt>
              </c:strCache>
            </c:strRef>
          </c:tx>
          <c:spPr>
            <a:solidFill>
              <a:schemeClr val="accent5">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Data'!$F$108</c:f>
            </c:numRef>
          </c:val>
          <c:extLst>
            <c:ext xmlns:c16="http://schemas.microsoft.com/office/drawing/2014/chart" uri="{C3380CC4-5D6E-409C-BE32-E72D297353CC}">
              <c16:uniqueId val="{0000006A-6232-4A31-8AD3-35D8BD332703}"/>
            </c:ext>
          </c:extLst>
        </c:ser>
        <c:ser>
          <c:idx val="107"/>
          <c:order val="107"/>
          <c:tx>
            <c:strRef>
              <c:f>'Cleaned Data'!$A$109</c:f>
              <c:strCache>
                <c:ptCount val="1"/>
                <c:pt idx="0">
                  <c:v>Dora Factory</c:v>
                </c:pt>
              </c:strCache>
            </c:strRef>
          </c:tx>
          <c:spPr>
            <a:solidFill>
              <a:schemeClr val="accent6">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Data'!$F$109</c:f>
            </c:numRef>
          </c:val>
          <c:extLst>
            <c:ext xmlns:c16="http://schemas.microsoft.com/office/drawing/2014/chart" uri="{C3380CC4-5D6E-409C-BE32-E72D297353CC}">
              <c16:uniqueId val="{0000006B-6232-4A31-8AD3-35D8BD332703}"/>
            </c:ext>
          </c:extLst>
        </c:ser>
        <c:ser>
          <c:idx val="108"/>
          <c:order val="108"/>
          <c:tx>
            <c:strRef>
              <c:f>'Cleaned Data'!$A$110</c:f>
              <c:strCache>
                <c:ptCount val="1"/>
                <c:pt idx="0">
                  <c:v>Alon</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Data'!$F$110</c:f>
            </c:numRef>
          </c:val>
          <c:extLst>
            <c:ext xmlns:c16="http://schemas.microsoft.com/office/drawing/2014/chart" uri="{C3380CC4-5D6E-409C-BE32-E72D297353CC}">
              <c16:uniqueId val="{0000006C-6232-4A31-8AD3-35D8BD332703}"/>
            </c:ext>
          </c:extLst>
        </c:ser>
        <c:ser>
          <c:idx val="109"/>
          <c:order val="109"/>
          <c:tx>
            <c:strRef>
              <c:f>'Cleaned Data'!$A$111</c:f>
              <c:strCache>
                <c:ptCount val="1"/>
                <c:pt idx="0">
                  <c:v>Beefy</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Data'!$F$111</c:f>
            </c:numRef>
          </c:val>
          <c:extLst>
            <c:ext xmlns:c16="http://schemas.microsoft.com/office/drawing/2014/chart" uri="{C3380CC4-5D6E-409C-BE32-E72D297353CC}">
              <c16:uniqueId val="{0000006D-6232-4A31-8AD3-35D8BD332703}"/>
            </c:ext>
          </c:extLst>
        </c:ser>
        <c:ser>
          <c:idx val="110"/>
          <c:order val="110"/>
          <c:tx>
            <c:strRef>
              <c:f>'Cleaned Data'!$A$112</c:f>
              <c:strCache>
                <c:ptCount val="1"/>
                <c:pt idx="0">
                  <c:v>Karate Combat</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Data'!$F$112</c:f>
            </c:numRef>
          </c:val>
          <c:extLst>
            <c:ext xmlns:c16="http://schemas.microsoft.com/office/drawing/2014/chart" uri="{C3380CC4-5D6E-409C-BE32-E72D297353CC}">
              <c16:uniqueId val="{0000006E-6232-4A31-8AD3-35D8BD332703}"/>
            </c:ext>
          </c:extLst>
        </c:ser>
        <c:ser>
          <c:idx val="111"/>
          <c:order val="111"/>
          <c:tx>
            <c:strRef>
              <c:f>'Cleaned Data'!$A$113</c:f>
              <c:strCache>
                <c:ptCount val="1"/>
                <c:pt idx="0">
                  <c:v>Efinity Token</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Data'!$F$113</c:f>
            </c:numRef>
          </c:val>
          <c:extLst>
            <c:ext xmlns:c16="http://schemas.microsoft.com/office/drawing/2014/chart" uri="{C3380CC4-5D6E-409C-BE32-E72D297353CC}">
              <c16:uniqueId val="{0000006F-6232-4A31-8AD3-35D8BD332703}"/>
            </c:ext>
          </c:extLst>
        </c:ser>
        <c:ser>
          <c:idx val="112"/>
          <c:order val="112"/>
          <c:tx>
            <c:strRef>
              <c:f>'Cleaned Data'!$A$114</c:f>
              <c:strCache>
                <c:ptCount val="1"/>
                <c:pt idx="0">
                  <c:v>Nura Labs</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Data'!$F$114</c:f>
            </c:numRef>
          </c:val>
          <c:extLst>
            <c:ext xmlns:c16="http://schemas.microsoft.com/office/drawing/2014/chart" uri="{C3380CC4-5D6E-409C-BE32-E72D297353CC}">
              <c16:uniqueId val="{00000070-6232-4A31-8AD3-35D8BD332703}"/>
            </c:ext>
          </c:extLst>
        </c:ser>
        <c:ser>
          <c:idx val="113"/>
          <c:order val="113"/>
          <c:tx>
            <c:strRef>
              <c:f>'Cleaned Data'!$A$115</c:f>
              <c:strCache>
                <c:ptCount val="1"/>
                <c:pt idx="0">
                  <c:v>Nexera</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Data'!$F$115</c:f>
            </c:numRef>
          </c:val>
          <c:extLst>
            <c:ext xmlns:c16="http://schemas.microsoft.com/office/drawing/2014/chart" uri="{C3380CC4-5D6E-409C-BE32-E72D297353CC}">
              <c16:uniqueId val="{00000071-6232-4A31-8AD3-35D8BD332703}"/>
            </c:ext>
          </c:extLst>
        </c:ser>
        <c:ser>
          <c:idx val="114"/>
          <c:order val="114"/>
          <c:tx>
            <c:strRef>
              <c:f>'Cleaned Data'!$A$116</c:f>
              <c:strCache>
                <c:ptCount val="1"/>
                <c:pt idx="0">
                  <c:v>Department Of Government Efficiency (dogegov.com)</c:v>
                </c:pt>
              </c:strCache>
            </c:strRef>
          </c:tx>
          <c:spPr>
            <a:solidFill>
              <a:schemeClr val="accent1">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Data'!$F$116</c:f>
            </c:numRef>
          </c:val>
          <c:extLst>
            <c:ext xmlns:c16="http://schemas.microsoft.com/office/drawing/2014/chart" uri="{C3380CC4-5D6E-409C-BE32-E72D297353CC}">
              <c16:uniqueId val="{00000072-6232-4A31-8AD3-35D8BD332703}"/>
            </c:ext>
          </c:extLst>
        </c:ser>
        <c:ser>
          <c:idx val="115"/>
          <c:order val="115"/>
          <c:tx>
            <c:strRef>
              <c:f>'Cleaned Data'!$A$117</c:f>
              <c:strCache>
                <c:ptCount val="1"/>
                <c:pt idx="0">
                  <c:v>moonpig</c:v>
                </c:pt>
              </c:strCache>
            </c:strRef>
          </c:tx>
          <c:spPr>
            <a:solidFill>
              <a:schemeClr val="accent2">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Data'!$F$117</c:f>
            </c:numRef>
          </c:val>
          <c:extLst>
            <c:ext xmlns:c16="http://schemas.microsoft.com/office/drawing/2014/chart" uri="{C3380CC4-5D6E-409C-BE32-E72D297353CC}">
              <c16:uniqueId val="{00000073-6232-4A31-8AD3-35D8BD332703}"/>
            </c:ext>
          </c:extLst>
        </c:ser>
        <c:ser>
          <c:idx val="116"/>
          <c:order val="116"/>
          <c:tx>
            <c:strRef>
              <c:f>'Cleaned Data'!$A$118</c:f>
              <c:strCache>
                <c:ptCount val="1"/>
                <c:pt idx="0">
                  <c:v>Aerobud</c:v>
                </c:pt>
              </c:strCache>
            </c:strRef>
          </c:tx>
          <c:spPr>
            <a:solidFill>
              <a:schemeClr val="accent3">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Data'!$F$118</c:f>
            </c:numRef>
          </c:val>
          <c:extLst>
            <c:ext xmlns:c16="http://schemas.microsoft.com/office/drawing/2014/chart" uri="{C3380CC4-5D6E-409C-BE32-E72D297353CC}">
              <c16:uniqueId val="{00000074-6232-4A31-8AD3-35D8BD332703}"/>
            </c:ext>
          </c:extLst>
        </c:ser>
        <c:ser>
          <c:idx val="117"/>
          <c:order val="117"/>
          <c:tx>
            <c:strRef>
              <c:f>'Cleaned Data'!$A$119</c:f>
              <c:strCache>
                <c:ptCount val="1"/>
                <c:pt idx="0">
                  <c:v>cheqd</c:v>
                </c:pt>
              </c:strCache>
            </c:strRef>
          </c:tx>
          <c:spPr>
            <a:solidFill>
              <a:schemeClr val="accent4">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Data'!$F$119</c:f>
            </c:numRef>
          </c:val>
          <c:extLst>
            <c:ext xmlns:c16="http://schemas.microsoft.com/office/drawing/2014/chart" uri="{C3380CC4-5D6E-409C-BE32-E72D297353CC}">
              <c16:uniqueId val="{00000075-6232-4A31-8AD3-35D8BD332703}"/>
            </c:ext>
          </c:extLst>
        </c:ser>
        <c:ser>
          <c:idx val="118"/>
          <c:order val="118"/>
          <c:tx>
            <c:strRef>
              <c:f>'Cleaned Data'!$A$120</c:f>
              <c:strCache>
                <c:ptCount val="1"/>
                <c:pt idx="0">
                  <c:v>Koma Inu</c:v>
                </c:pt>
              </c:strCache>
            </c:strRef>
          </c:tx>
          <c:spPr>
            <a:solidFill>
              <a:schemeClr val="accent5">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Data'!$F$120</c:f>
            </c:numRef>
          </c:val>
          <c:extLst>
            <c:ext xmlns:c16="http://schemas.microsoft.com/office/drawing/2014/chart" uri="{C3380CC4-5D6E-409C-BE32-E72D297353CC}">
              <c16:uniqueId val="{00000076-6232-4A31-8AD3-35D8BD332703}"/>
            </c:ext>
          </c:extLst>
        </c:ser>
        <c:ser>
          <c:idx val="119"/>
          <c:order val="119"/>
          <c:tx>
            <c:strRef>
              <c:f>'Cleaned Data'!$A$121</c:f>
              <c:strCache>
                <c:ptCount val="1"/>
                <c:pt idx="0">
                  <c:v>Pitbull</c:v>
                </c:pt>
              </c:strCache>
            </c:strRef>
          </c:tx>
          <c:spPr>
            <a:solidFill>
              <a:schemeClr val="accent6">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Data'!$F$121</c:f>
            </c:numRef>
          </c:val>
          <c:extLst>
            <c:ext xmlns:c16="http://schemas.microsoft.com/office/drawing/2014/chart" uri="{C3380CC4-5D6E-409C-BE32-E72D297353CC}">
              <c16:uniqueId val="{00000077-6232-4A31-8AD3-35D8BD332703}"/>
            </c:ext>
          </c:extLst>
        </c:ser>
        <c:ser>
          <c:idx val="120"/>
          <c:order val="120"/>
          <c:tx>
            <c:strRef>
              <c:f>'Cleaned Data'!$A$122</c:f>
              <c:strCache>
                <c:ptCount val="1"/>
                <c:pt idx="0">
                  <c:v>Venus LTC</c:v>
                </c:pt>
              </c:strCache>
            </c:strRef>
          </c:tx>
          <c:spPr>
            <a:solidFill>
              <a:schemeClr val="accent1">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Data'!$F$122</c:f>
            </c:numRef>
          </c:val>
          <c:extLst>
            <c:ext xmlns:c16="http://schemas.microsoft.com/office/drawing/2014/chart" uri="{C3380CC4-5D6E-409C-BE32-E72D297353CC}">
              <c16:uniqueId val="{00000078-6232-4A31-8AD3-35D8BD332703}"/>
            </c:ext>
          </c:extLst>
        </c:ser>
        <c:ser>
          <c:idx val="121"/>
          <c:order val="121"/>
          <c:tx>
            <c:strRef>
              <c:f>'Cleaned Data'!$A$123</c:f>
              <c:strCache>
                <c:ptCount val="1"/>
                <c:pt idx="0">
                  <c:v>KONET</c:v>
                </c:pt>
              </c:strCache>
            </c:strRef>
          </c:tx>
          <c:spPr>
            <a:solidFill>
              <a:schemeClr val="accent2">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Data'!$F$123</c:f>
            </c:numRef>
          </c:val>
          <c:extLst>
            <c:ext xmlns:c16="http://schemas.microsoft.com/office/drawing/2014/chart" uri="{C3380CC4-5D6E-409C-BE32-E72D297353CC}">
              <c16:uniqueId val="{00000079-6232-4A31-8AD3-35D8BD332703}"/>
            </c:ext>
          </c:extLst>
        </c:ser>
        <c:ser>
          <c:idx val="122"/>
          <c:order val="122"/>
          <c:tx>
            <c:strRef>
              <c:f>'Cleaned Data'!$A$124</c:f>
              <c:strCache>
                <c:ptCount val="1"/>
                <c:pt idx="0">
                  <c:v>Creta World</c:v>
                </c:pt>
              </c:strCache>
            </c:strRef>
          </c:tx>
          <c:spPr>
            <a:solidFill>
              <a:schemeClr val="accent3">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Data'!$F$124</c:f>
            </c:numRef>
          </c:val>
          <c:extLst>
            <c:ext xmlns:c16="http://schemas.microsoft.com/office/drawing/2014/chart" uri="{C3380CC4-5D6E-409C-BE32-E72D297353CC}">
              <c16:uniqueId val="{0000007A-6232-4A31-8AD3-35D8BD332703}"/>
            </c:ext>
          </c:extLst>
        </c:ser>
        <c:ser>
          <c:idx val="123"/>
          <c:order val="123"/>
          <c:tx>
            <c:strRef>
              <c:f>'Cleaned Data'!$A$125</c:f>
              <c:strCache>
                <c:ptCount val="1"/>
                <c:pt idx="0">
                  <c:v>WazirX</c:v>
                </c:pt>
              </c:strCache>
            </c:strRef>
          </c:tx>
          <c:spPr>
            <a:solidFill>
              <a:schemeClr val="accent4">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Data'!$F$125</c:f>
            </c:numRef>
          </c:val>
          <c:extLst>
            <c:ext xmlns:c16="http://schemas.microsoft.com/office/drawing/2014/chart" uri="{C3380CC4-5D6E-409C-BE32-E72D297353CC}">
              <c16:uniqueId val="{0000007B-6232-4A31-8AD3-35D8BD332703}"/>
            </c:ext>
          </c:extLst>
        </c:ser>
        <c:ser>
          <c:idx val="124"/>
          <c:order val="124"/>
          <c:tx>
            <c:strRef>
              <c:f>'Cleaned Data'!$A$126</c:f>
              <c:strCache>
                <c:ptCount val="1"/>
                <c:pt idx="0">
                  <c:v>Baanx</c:v>
                </c:pt>
              </c:strCache>
            </c:strRef>
          </c:tx>
          <c:spPr>
            <a:solidFill>
              <a:schemeClr val="accent5">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Data'!$F$126</c:f>
            </c:numRef>
          </c:val>
          <c:extLst>
            <c:ext xmlns:c16="http://schemas.microsoft.com/office/drawing/2014/chart" uri="{C3380CC4-5D6E-409C-BE32-E72D297353CC}">
              <c16:uniqueId val="{0000007C-6232-4A31-8AD3-35D8BD332703}"/>
            </c:ext>
          </c:extLst>
        </c:ser>
        <c:ser>
          <c:idx val="125"/>
          <c:order val="125"/>
          <c:tx>
            <c:strRef>
              <c:f>'Cleaned Data'!$A$127</c:f>
              <c:strCache>
                <c:ptCount val="1"/>
                <c:pt idx="0">
                  <c:v>SwarmNode.ai</c:v>
                </c:pt>
              </c:strCache>
            </c:strRef>
          </c:tx>
          <c:spPr>
            <a:solidFill>
              <a:schemeClr val="accent6">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Data'!$F$127</c:f>
            </c:numRef>
          </c:val>
          <c:extLst>
            <c:ext xmlns:c16="http://schemas.microsoft.com/office/drawing/2014/chart" uri="{C3380CC4-5D6E-409C-BE32-E72D297353CC}">
              <c16:uniqueId val="{0000007D-6232-4A31-8AD3-35D8BD332703}"/>
            </c:ext>
          </c:extLst>
        </c:ser>
        <c:ser>
          <c:idx val="126"/>
          <c:order val="126"/>
          <c:tx>
            <c:strRef>
              <c:f>'Cleaned Data'!$A$128</c:f>
              <c:strCache>
                <c:ptCount val="1"/>
                <c:pt idx="0">
                  <c:v>Hathor</c:v>
                </c:pt>
              </c:strCache>
            </c:strRef>
          </c:tx>
          <c:spPr>
            <a:solidFill>
              <a:schemeClr val="accent1">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Data'!$F$128</c:f>
            </c:numRef>
          </c:val>
          <c:extLst>
            <c:ext xmlns:c16="http://schemas.microsoft.com/office/drawing/2014/chart" uri="{C3380CC4-5D6E-409C-BE32-E72D297353CC}">
              <c16:uniqueId val="{0000007E-6232-4A31-8AD3-35D8BD332703}"/>
            </c:ext>
          </c:extLst>
        </c:ser>
        <c:ser>
          <c:idx val="127"/>
          <c:order val="127"/>
          <c:tx>
            <c:strRef>
              <c:f>'Cleaned Data'!$A$129</c:f>
              <c:strCache>
                <c:ptCount val="1"/>
                <c:pt idx="0">
                  <c:v>Venus DAI</c:v>
                </c:pt>
              </c:strCache>
            </c:strRef>
          </c:tx>
          <c:spPr>
            <a:solidFill>
              <a:schemeClr val="accent2">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Data'!$F$129</c:f>
            </c:numRef>
          </c:val>
          <c:extLst>
            <c:ext xmlns:c16="http://schemas.microsoft.com/office/drawing/2014/chart" uri="{C3380CC4-5D6E-409C-BE32-E72D297353CC}">
              <c16:uniqueId val="{0000007F-6232-4A31-8AD3-35D8BD332703}"/>
            </c:ext>
          </c:extLst>
        </c:ser>
        <c:ser>
          <c:idx val="128"/>
          <c:order val="128"/>
          <c:tx>
            <c:strRef>
              <c:f>'Cleaned Data'!$A$130</c:f>
              <c:strCache>
                <c:ptCount val="1"/>
                <c:pt idx="0">
                  <c:v>trac (Ordinals)</c:v>
                </c:pt>
              </c:strCache>
            </c:strRef>
          </c:tx>
          <c:spPr>
            <a:solidFill>
              <a:schemeClr val="accent3">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Data'!$F$130</c:f>
            </c:numRef>
          </c:val>
          <c:extLst>
            <c:ext xmlns:c16="http://schemas.microsoft.com/office/drawing/2014/chart" uri="{C3380CC4-5D6E-409C-BE32-E72D297353CC}">
              <c16:uniqueId val="{00000080-6232-4A31-8AD3-35D8BD332703}"/>
            </c:ext>
          </c:extLst>
        </c:ser>
        <c:ser>
          <c:idx val="129"/>
          <c:order val="129"/>
          <c:tx>
            <c:strRef>
              <c:f>'Cleaned Data'!$A$131</c:f>
              <c:strCache>
                <c:ptCount val="1"/>
                <c:pt idx="0">
                  <c:v>AirSwap</c:v>
                </c:pt>
              </c:strCache>
            </c:strRef>
          </c:tx>
          <c:spPr>
            <a:solidFill>
              <a:schemeClr val="accent4">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Data'!$F$131</c:f>
            </c:numRef>
          </c:val>
          <c:extLst>
            <c:ext xmlns:c16="http://schemas.microsoft.com/office/drawing/2014/chart" uri="{C3380CC4-5D6E-409C-BE32-E72D297353CC}">
              <c16:uniqueId val="{00000081-6232-4A31-8AD3-35D8BD332703}"/>
            </c:ext>
          </c:extLst>
        </c:ser>
        <c:ser>
          <c:idx val="130"/>
          <c:order val="130"/>
          <c:tx>
            <c:strRef>
              <c:f>'Cleaned Data'!$A$132</c:f>
              <c:strCache>
                <c:ptCount val="1"/>
                <c:pt idx="0">
                  <c:v>nubcat</c:v>
                </c:pt>
              </c:strCache>
            </c:strRef>
          </c:tx>
          <c:spPr>
            <a:solidFill>
              <a:schemeClr val="accent5">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Data'!$F$132</c:f>
            </c:numRef>
          </c:val>
          <c:extLst>
            <c:ext xmlns:c16="http://schemas.microsoft.com/office/drawing/2014/chart" uri="{C3380CC4-5D6E-409C-BE32-E72D297353CC}">
              <c16:uniqueId val="{00000082-6232-4A31-8AD3-35D8BD332703}"/>
            </c:ext>
          </c:extLst>
        </c:ser>
        <c:ser>
          <c:idx val="131"/>
          <c:order val="131"/>
          <c:tx>
            <c:strRef>
              <c:f>'Cleaned Data'!$A$133</c:f>
              <c:strCache>
                <c:ptCount val="1"/>
                <c:pt idx="0">
                  <c:v>CrossFi</c:v>
                </c:pt>
              </c:strCache>
            </c:strRef>
          </c:tx>
          <c:spPr>
            <a:solidFill>
              <a:schemeClr val="accent6">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Data'!$F$133</c:f>
            </c:numRef>
          </c:val>
          <c:extLst>
            <c:ext xmlns:c16="http://schemas.microsoft.com/office/drawing/2014/chart" uri="{C3380CC4-5D6E-409C-BE32-E72D297353CC}">
              <c16:uniqueId val="{00000083-6232-4A31-8AD3-35D8BD332703}"/>
            </c:ext>
          </c:extLst>
        </c:ser>
        <c:ser>
          <c:idx val="132"/>
          <c:order val="132"/>
          <c:tx>
            <c:strRef>
              <c:f>'Cleaned Data'!$A$134</c:f>
              <c:strCache>
                <c:ptCount val="1"/>
                <c:pt idx="0">
                  <c:v>Tron Bull</c:v>
                </c:pt>
              </c:strCache>
            </c:strRef>
          </c:tx>
          <c:spPr>
            <a:solidFill>
              <a:schemeClr val="accent1">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Data'!$F$134</c:f>
            </c:numRef>
          </c:val>
          <c:extLst>
            <c:ext xmlns:c16="http://schemas.microsoft.com/office/drawing/2014/chart" uri="{C3380CC4-5D6E-409C-BE32-E72D297353CC}">
              <c16:uniqueId val="{00000084-6232-4A31-8AD3-35D8BD332703}"/>
            </c:ext>
          </c:extLst>
        </c:ser>
        <c:ser>
          <c:idx val="133"/>
          <c:order val="133"/>
          <c:tx>
            <c:strRef>
              <c:f>'Cleaned Data'!$A$135</c:f>
              <c:strCache>
                <c:ptCount val="1"/>
                <c:pt idx="0">
                  <c:v>Openfabric AI</c:v>
                </c:pt>
              </c:strCache>
            </c:strRef>
          </c:tx>
          <c:spPr>
            <a:solidFill>
              <a:schemeClr val="accent2">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Data'!$F$135</c:f>
            </c:numRef>
          </c:val>
          <c:extLst>
            <c:ext xmlns:c16="http://schemas.microsoft.com/office/drawing/2014/chart" uri="{C3380CC4-5D6E-409C-BE32-E72D297353CC}">
              <c16:uniqueId val="{00000085-6232-4A31-8AD3-35D8BD332703}"/>
            </c:ext>
          </c:extLst>
        </c:ser>
        <c:ser>
          <c:idx val="134"/>
          <c:order val="134"/>
          <c:tx>
            <c:strRef>
              <c:f>'Cleaned Data'!$A$136</c:f>
              <c:strCache>
                <c:ptCount val="1"/>
                <c:pt idx="0">
                  <c:v>Electric Vehicle Zone</c:v>
                </c:pt>
              </c:strCache>
            </c:strRef>
          </c:tx>
          <c:spPr>
            <a:solidFill>
              <a:schemeClr val="accent3">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Data'!$F$136</c:f>
            </c:numRef>
          </c:val>
          <c:extLst>
            <c:ext xmlns:c16="http://schemas.microsoft.com/office/drawing/2014/chart" uri="{C3380CC4-5D6E-409C-BE32-E72D297353CC}">
              <c16:uniqueId val="{00000086-6232-4A31-8AD3-35D8BD332703}"/>
            </c:ext>
          </c:extLst>
        </c:ser>
        <c:ser>
          <c:idx val="135"/>
          <c:order val="135"/>
          <c:tx>
            <c:strRef>
              <c:f>'Cleaned Data'!$A$137</c:f>
              <c:strCache>
                <c:ptCount val="1"/>
                <c:pt idx="0">
                  <c:v>Metahero</c:v>
                </c:pt>
              </c:strCache>
            </c:strRef>
          </c:tx>
          <c:spPr>
            <a:solidFill>
              <a:schemeClr val="accent4">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Data'!$F$137</c:f>
            </c:numRef>
          </c:val>
          <c:extLst>
            <c:ext xmlns:c16="http://schemas.microsoft.com/office/drawing/2014/chart" uri="{C3380CC4-5D6E-409C-BE32-E72D297353CC}">
              <c16:uniqueId val="{00000087-6232-4A31-8AD3-35D8BD332703}"/>
            </c:ext>
          </c:extLst>
        </c:ser>
        <c:ser>
          <c:idx val="136"/>
          <c:order val="136"/>
          <c:tx>
            <c:strRef>
              <c:f>'Cleaned Data'!$A$138</c:f>
              <c:strCache>
                <c:ptCount val="1"/>
                <c:pt idx="0">
                  <c:v>Inter Milan Fan Token</c:v>
                </c:pt>
              </c:strCache>
            </c:strRef>
          </c:tx>
          <c:spPr>
            <a:solidFill>
              <a:schemeClr val="accent5">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Data'!$F$138</c:f>
            </c:numRef>
          </c:val>
          <c:extLst>
            <c:ext xmlns:c16="http://schemas.microsoft.com/office/drawing/2014/chart" uri="{C3380CC4-5D6E-409C-BE32-E72D297353CC}">
              <c16:uniqueId val="{00000088-6232-4A31-8AD3-35D8BD332703}"/>
            </c:ext>
          </c:extLst>
        </c:ser>
        <c:ser>
          <c:idx val="137"/>
          <c:order val="137"/>
          <c:tx>
            <c:strRef>
              <c:f>'Cleaned Data'!$A$139</c:f>
              <c:strCache>
                <c:ptCount val="1"/>
                <c:pt idx="0">
                  <c:v>Darkpino</c:v>
                </c:pt>
              </c:strCache>
            </c:strRef>
          </c:tx>
          <c:spPr>
            <a:solidFill>
              <a:schemeClr val="accent6">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Data'!$F$139</c:f>
            </c:numRef>
          </c:val>
          <c:extLst>
            <c:ext xmlns:c16="http://schemas.microsoft.com/office/drawing/2014/chart" uri="{C3380CC4-5D6E-409C-BE32-E72D297353CC}">
              <c16:uniqueId val="{00000089-6232-4A31-8AD3-35D8BD332703}"/>
            </c:ext>
          </c:extLst>
        </c:ser>
        <c:ser>
          <c:idx val="138"/>
          <c:order val="138"/>
          <c:tx>
            <c:strRef>
              <c:f>'Cleaned Data'!$A$140</c:f>
              <c:strCache>
                <c:ptCount val="1"/>
                <c:pt idx="0">
                  <c:v>Velas</c:v>
                </c:pt>
              </c:strCache>
            </c:strRef>
          </c:tx>
          <c:spPr>
            <a:solidFill>
              <a:schemeClr val="accent1">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Data'!$F$140</c:f>
            </c:numRef>
          </c:val>
          <c:extLst>
            <c:ext xmlns:c16="http://schemas.microsoft.com/office/drawing/2014/chart" uri="{C3380CC4-5D6E-409C-BE32-E72D297353CC}">
              <c16:uniqueId val="{0000008A-6232-4A31-8AD3-35D8BD332703}"/>
            </c:ext>
          </c:extLst>
        </c:ser>
        <c:ser>
          <c:idx val="139"/>
          <c:order val="139"/>
          <c:tx>
            <c:strRef>
              <c:f>'Cleaned Data'!$A$141</c:f>
              <c:strCache>
                <c:ptCount val="1"/>
                <c:pt idx="0">
                  <c:v>Abelian</c:v>
                </c:pt>
              </c:strCache>
            </c:strRef>
          </c:tx>
          <c:spPr>
            <a:solidFill>
              <a:schemeClr val="accent2">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Data'!$F$141</c:f>
            </c:numRef>
          </c:val>
          <c:extLst>
            <c:ext xmlns:c16="http://schemas.microsoft.com/office/drawing/2014/chart" uri="{C3380CC4-5D6E-409C-BE32-E72D297353CC}">
              <c16:uniqueId val="{0000008B-6232-4A31-8AD3-35D8BD332703}"/>
            </c:ext>
          </c:extLst>
        </c:ser>
        <c:ser>
          <c:idx val="140"/>
          <c:order val="140"/>
          <c:tx>
            <c:strRef>
              <c:f>'Cleaned Data'!$A$142</c:f>
              <c:strCache>
                <c:ptCount val="1"/>
                <c:pt idx="0">
                  <c:v>Electra Protocol</c:v>
                </c:pt>
              </c:strCache>
            </c:strRef>
          </c:tx>
          <c:spPr>
            <a:solidFill>
              <a:schemeClr val="accent3">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Data'!$F$142</c:f>
            </c:numRef>
          </c:val>
          <c:extLst>
            <c:ext xmlns:c16="http://schemas.microsoft.com/office/drawing/2014/chart" uri="{C3380CC4-5D6E-409C-BE32-E72D297353CC}">
              <c16:uniqueId val="{0000008C-6232-4A31-8AD3-35D8BD332703}"/>
            </c:ext>
          </c:extLst>
        </c:ser>
        <c:ser>
          <c:idx val="141"/>
          <c:order val="141"/>
          <c:tx>
            <c:strRef>
              <c:f>'Cleaned Data'!$A$143</c:f>
              <c:strCache>
                <c:ptCount val="1"/>
                <c:pt idx="0">
                  <c:v>Kin</c:v>
                </c:pt>
              </c:strCache>
            </c:strRef>
          </c:tx>
          <c:spPr>
            <a:solidFill>
              <a:schemeClr val="accent4">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Data'!$F$143</c:f>
            </c:numRef>
          </c:val>
          <c:extLst>
            <c:ext xmlns:c16="http://schemas.microsoft.com/office/drawing/2014/chart" uri="{C3380CC4-5D6E-409C-BE32-E72D297353CC}">
              <c16:uniqueId val="{0000008D-6232-4A31-8AD3-35D8BD332703}"/>
            </c:ext>
          </c:extLst>
        </c:ser>
        <c:ser>
          <c:idx val="142"/>
          <c:order val="142"/>
          <c:tx>
            <c:strRef>
              <c:f>'Cleaned Data'!$A$144</c:f>
              <c:strCache>
                <c:ptCount val="1"/>
                <c:pt idx="0">
                  <c:v>KiloEx</c:v>
                </c:pt>
              </c:strCache>
            </c:strRef>
          </c:tx>
          <c:spPr>
            <a:solidFill>
              <a:schemeClr val="accent5">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Data'!$F$144</c:f>
            </c:numRef>
          </c:val>
          <c:extLst>
            <c:ext xmlns:c16="http://schemas.microsoft.com/office/drawing/2014/chart" uri="{C3380CC4-5D6E-409C-BE32-E72D297353CC}">
              <c16:uniqueId val="{0000008E-6232-4A31-8AD3-35D8BD332703}"/>
            </c:ext>
          </c:extLst>
        </c:ser>
        <c:ser>
          <c:idx val="143"/>
          <c:order val="143"/>
          <c:tx>
            <c:strRef>
              <c:f>'Cleaned Data'!$A$145</c:f>
              <c:strCache>
                <c:ptCount val="1"/>
                <c:pt idx="0">
                  <c:v>Privasea AI</c:v>
                </c:pt>
              </c:strCache>
            </c:strRef>
          </c:tx>
          <c:spPr>
            <a:solidFill>
              <a:schemeClr val="accent6">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Data'!$F$145</c:f>
            </c:numRef>
          </c:val>
          <c:extLst>
            <c:ext xmlns:c16="http://schemas.microsoft.com/office/drawing/2014/chart" uri="{C3380CC4-5D6E-409C-BE32-E72D297353CC}">
              <c16:uniqueId val="{0000008F-6232-4A31-8AD3-35D8BD332703}"/>
            </c:ext>
          </c:extLst>
        </c:ser>
        <c:ser>
          <c:idx val="144"/>
          <c:order val="144"/>
          <c:tx>
            <c:strRef>
              <c:f>'Cleaned Data'!$A$146</c:f>
              <c:strCache>
                <c:ptCount val="1"/>
                <c:pt idx="0">
                  <c:v>MAD</c:v>
                </c:pt>
              </c:strCache>
            </c:strRef>
          </c:tx>
          <c:spPr>
            <a:solidFill>
              <a:schemeClr val="accent1">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Data'!$F$146</c:f>
            </c:numRef>
          </c:val>
          <c:extLst>
            <c:ext xmlns:c16="http://schemas.microsoft.com/office/drawing/2014/chart" uri="{C3380CC4-5D6E-409C-BE32-E72D297353CC}">
              <c16:uniqueId val="{00000090-6232-4A31-8AD3-35D8BD332703}"/>
            </c:ext>
          </c:extLst>
        </c:ser>
        <c:ser>
          <c:idx val="145"/>
          <c:order val="145"/>
          <c:tx>
            <c:strRef>
              <c:f>'Cleaned Data'!$A$147</c:f>
              <c:strCache>
                <c:ptCount val="1"/>
                <c:pt idx="0">
                  <c:v>Robonomics.network</c:v>
                </c:pt>
              </c:strCache>
            </c:strRef>
          </c:tx>
          <c:spPr>
            <a:solidFill>
              <a:schemeClr val="accent2">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Data'!$F$147</c:f>
            </c:numRef>
          </c:val>
          <c:extLst>
            <c:ext xmlns:c16="http://schemas.microsoft.com/office/drawing/2014/chart" uri="{C3380CC4-5D6E-409C-BE32-E72D297353CC}">
              <c16:uniqueId val="{00000091-6232-4A31-8AD3-35D8BD332703}"/>
            </c:ext>
          </c:extLst>
        </c:ser>
        <c:ser>
          <c:idx val="146"/>
          <c:order val="146"/>
          <c:tx>
            <c:strRef>
              <c:f>'Cleaned Data'!$A$148</c:f>
              <c:strCache>
                <c:ptCount val="1"/>
                <c:pt idx="0">
                  <c:v>Alitas</c:v>
                </c:pt>
              </c:strCache>
            </c:strRef>
          </c:tx>
          <c:spPr>
            <a:solidFill>
              <a:schemeClr val="accent3">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Data'!$F$148</c:f>
            </c:numRef>
          </c:val>
          <c:extLst>
            <c:ext xmlns:c16="http://schemas.microsoft.com/office/drawing/2014/chart" uri="{C3380CC4-5D6E-409C-BE32-E72D297353CC}">
              <c16:uniqueId val="{00000092-6232-4A31-8AD3-35D8BD332703}"/>
            </c:ext>
          </c:extLst>
        </c:ser>
        <c:ser>
          <c:idx val="147"/>
          <c:order val="147"/>
          <c:tx>
            <c:strRef>
              <c:f>'Cleaned Data'!$A$149</c:f>
              <c:strCache>
                <c:ptCount val="1"/>
                <c:pt idx="0">
                  <c:v>Bytecoin</c:v>
                </c:pt>
              </c:strCache>
            </c:strRef>
          </c:tx>
          <c:spPr>
            <a:solidFill>
              <a:schemeClr val="accent4">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Data'!$F$149</c:f>
            </c:numRef>
          </c:val>
          <c:extLst>
            <c:ext xmlns:c16="http://schemas.microsoft.com/office/drawing/2014/chart" uri="{C3380CC4-5D6E-409C-BE32-E72D297353CC}">
              <c16:uniqueId val="{00000093-6232-4A31-8AD3-35D8BD332703}"/>
            </c:ext>
          </c:extLst>
        </c:ser>
        <c:ser>
          <c:idx val="148"/>
          <c:order val="148"/>
          <c:tx>
            <c:strRef>
              <c:f>'Cleaned Data'!$A$150</c:f>
              <c:strCache>
                <c:ptCount val="1"/>
                <c:pt idx="0">
                  <c:v>Morpheus.Network</c:v>
                </c:pt>
              </c:strCache>
            </c:strRef>
          </c:tx>
          <c:spPr>
            <a:solidFill>
              <a:schemeClr val="accent5">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Data'!$F$150</c:f>
            </c:numRef>
          </c:val>
          <c:extLst>
            <c:ext xmlns:c16="http://schemas.microsoft.com/office/drawing/2014/chart" uri="{C3380CC4-5D6E-409C-BE32-E72D297353CC}">
              <c16:uniqueId val="{00000094-6232-4A31-8AD3-35D8BD332703}"/>
            </c:ext>
          </c:extLst>
        </c:ser>
        <c:ser>
          <c:idx val="149"/>
          <c:order val="149"/>
          <c:tx>
            <c:strRef>
              <c:f>'Cleaned Data'!$A$151</c:f>
              <c:strCache>
                <c:ptCount val="1"/>
                <c:pt idx="0">
                  <c:v>WELF</c:v>
                </c:pt>
              </c:strCache>
            </c:strRef>
          </c:tx>
          <c:spPr>
            <a:solidFill>
              <a:schemeClr val="accent6">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Data'!$F$151</c:f>
            </c:numRef>
          </c:val>
          <c:extLst>
            <c:ext xmlns:c16="http://schemas.microsoft.com/office/drawing/2014/chart" uri="{C3380CC4-5D6E-409C-BE32-E72D297353CC}">
              <c16:uniqueId val="{00000095-6232-4A31-8AD3-35D8BD332703}"/>
            </c:ext>
          </c:extLst>
        </c:ser>
        <c:ser>
          <c:idx val="150"/>
          <c:order val="150"/>
          <c:tx>
            <c:strRef>
              <c:f>'Cleaned Data'!$A$152</c:f>
              <c:strCache>
                <c:ptCount val="1"/>
                <c:pt idx="0">
                  <c:v>Cypherium</c:v>
                </c:pt>
              </c:strCache>
            </c:strRef>
          </c:tx>
          <c:spPr>
            <a:solidFill>
              <a:schemeClr val="accent1">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Data'!$F$152</c:f>
            </c:numRef>
          </c:val>
          <c:extLst>
            <c:ext xmlns:c16="http://schemas.microsoft.com/office/drawing/2014/chart" uri="{C3380CC4-5D6E-409C-BE32-E72D297353CC}">
              <c16:uniqueId val="{00000096-6232-4A31-8AD3-35D8BD332703}"/>
            </c:ext>
          </c:extLst>
        </c:ser>
        <c:ser>
          <c:idx val="151"/>
          <c:order val="151"/>
          <c:tx>
            <c:strRef>
              <c:f>'Cleaned Data'!$A$153</c:f>
              <c:strCache>
                <c:ptCount val="1"/>
                <c:pt idx="0">
                  <c:v>Dingocoin</c:v>
                </c:pt>
              </c:strCache>
            </c:strRef>
          </c:tx>
          <c:spPr>
            <a:solidFill>
              <a:schemeClr val="accent2">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Data'!$F$153</c:f>
            </c:numRef>
          </c:val>
          <c:extLst>
            <c:ext xmlns:c16="http://schemas.microsoft.com/office/drawing/2014/chart" uri="{C3380CC4-5D6E-409C-BE32-E72D297353CC}">
              <c16:uniqueId val="{00000097-6232-4A31-8AD3-35D8BD332703}"/>
            </c:ext>
          </c:extLst>
        </c:ser>
        <c:ser>
          <c:idx val="152"/>
          <c:order val="152"/>
          <c:tx>
            <c:strRef>
              <c:f>'Cleaned Data'!$A$154</c:f>
              <c:strCache>
                <c:ptCount val="1"/>
                <c:pt idx="0">
                  <c:v>IBStoken</c:v>
                </c:pt>
              </c:strCache>
            </c:strRef>
          </c:tx>
          <c:spPr>
            <a:solidFill>
              <a:schemeClr val="accent3">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Data'!$F$154</c:f>
            </c:numRef>
          </c:val>
          <c:extLst>
            <c:ext xmlns:c16="http://schemas.microsoft.com/office/drawing/2014/chart" uri="{C3380CC4-5D6E-409C-BE32-E72D297353CC}">
              <c16:uniqueId val="{00000098-6232-4A31-8AD3-35D8BD332703}"/>
            </c:ext>
          </c:extLst>
        </c:ser>
        <c:ser>
          <c:idx val="153"/>
          <c:order val="153"/>
          <c:tx>
            <c:strRef>
              <c:f>'Cleaned Data'!$A$155</c:f>
              <c:strCache>
                <c:ptCount val="1"/>
                <c:pt idx="0">
                  <c:v>AIT Protocol</c:v>
                </c:pt>
              </c:strCache>
            </c:strRef>
          </c:tx>
          <c:spPr>
            <a:solidFill>
              <a:schemeClr val="accent4">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Data'!$F$155</c:f>
            </c:numRef>
          </c:val>
          <c:extLst>
            <c:ext xmlns:c16="http://schemas.microsoft.com/office/drawing/2014/chart" uri="{C3380CC4-5D6E-409C-BE32-E72D297353CC}">
              <c16:uniqueId val="{00000099-6232-4A31-8AD3-35D8BD332703}"/>
            </c:ext>
          </c:extLst>
        </c:ser>
        <c:ser>
          <c:idx val="154"/>
          <c:order val="154"/>
          <c:tx>
            <c:strRef>
              <c:f>'Cleaned Data'!$A$156</c:f>
              <c:strCache>
                <c:ptCount val="1"/>
                <c:pt idx="0">
                  <c:v>Bitcoin 2</c:v>
                </c:pt>
              </c:strCache>
            </c:strRef>
          </c:tx>
          <c:spPr>
            <a:solidFill>
              <a:schemeClr val="accent5">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Data'!$F$156</c:f>
            </c:numRef>
          </c:val>
          <c:extLst>
            <c:ext xmlns:c16="http://schemas.microsoft.com/office/drawing/2014/chart" uri="{C3380CC4-5D6E-409C-BE32-E72D297353CC}">
              <c16:uniqueId val="{0000009A-6232-4A31-8AD3-35D8BD332703}"/>
            </c:ext>
          </c:extLst>
        </c:ser>
        <c:ser>
          <c:idx val="155"/>
          <c:order val="155"/>
          <c:tx>
            <c:strRef>
              <c:f>'Cleaned Data'!$A$157</c:f>
              <c:strCache>
                <c:ptCount val="1"/>
                <c:pt idx="0">
                  <c:v>OmniFlix Network</c:v>
                </c:pt>
              </c:strCache>
            </c:strRef>
          </c:tx>
          <c:spPr>
            <a:solidFill>
              <a:schemeClr val="accent6">
                <a:lumMod val="7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Data'!$F$157</c:f>
            </c:numRef>
          </c:val>
          <c:extLst>
            <c:ext xmlns:c16="http://schemas.microsoft.com/office/drawing/2014/chart" uri="{C3380CC4-5D6E-409C-BE32-E72D297353CC}">
              <c16:uniqueId val="{0000009B-6232-4A31-8AD3-35D8BD332703}"/>
            </c:ext>
          </c:extLst>
        </c:ser>
        <c:ser>
          <c:idx val="156"/>
          <c:order val="156"/>
          <c:tx>
            <c:strRef>
              <c:f>'Cleaned Data'!$A$158</c:f>
              <c:strCache>
                <c:ptCount val="1"/>
                <c:pt idx="0">
                  <c:v>TRVL (Dtravel)</c:v>
                </c:pt>
              </c:strCache>
            </c:strRef>
          </c:tx>
          <c:spPr>
            <a:solidFill>
              <a:schemeClr val="accent1">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Data'!$F$158</c:f>
            </c:numRef>
          </c:val>
          <c:extLst>
            <c:ext xmlns:c16="http://schemas.microsoft.com/office/drawing/2014/chart" uri="{C3380CC4-5D6E-409C-BE32-E72D297353CC}">
              <c16:uniqueId val="{0000009C-6232-4A31-8AD3-35D8BD332703}"/>
            </c:ext>
          </c:extLst>
        </c:ser>
        <c:ser>
          <c:idx val="157"/>
          <c:order val="157"/>
          <c:tx>
            <c:strRef>
              <c:f>'Cleaned Data'!$A$159</c:f>
              <c:strCache>
                <c:ptCount val="1"/>
                <c:pt idx="0">
                  <c:v>DeBox</c:v>
                </c:pt>
              </c:strCache>
            </c:strRef>
          </c:tx>
          <c:spPr>
            <a:solidFill>
              <a:schemeClr val="accent2">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Data'!$F$159</c:f>
            </c:numRef>
          </c:val>
          <c:extLst>
            <c:ext xmlns:c16="http://schemas.microsoft.com/office/drawing/2014/chart" uri="{C3380CC4-5D6E-409C-BE32-E72D297353CC}">
              <c16:uniqueId val="{0000009D-6232-4A31-8AD3-35D8BD332703}"/>
            </c:ext>
          </c:extLst>
        </c:ser>
        <c:ser>
          <c:idx val="158"/>
          <c:order val="158"/>
          <c:tx>
            <c:strRef>
              <c:f>'Cleaned Data'!$A$160</c:f>
              <c:strCache>
                <c:ptCount val="1"/>
                <c:pt idx="0">
                  <c:v>Akita Inu</c:v>
                </c:pt>
              </c:strCache>
            </c:strRef>
          </c:tx>
          <c:spPr>
            <a:solidFill>
              <a:schemeClr val="accent3">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Data'!$F$160</c:f>
            </c:numRef>
          </c:val>
          <c:extLst>
            <c:ext xmlns:c16="http://schemas.microsoft.com/office/drawing/2014/chart" uri="{C3380CC4-5D6E-409C-BE32-E72D297353CC}">
              <c16:uniqueId val="{0000009E-6232-4A31-8AD3-35D8BD332703}"/>
            </c:ext>
          </c:extLst>
        </c:ser>
        <c:ser>
          <c:idx val="159"/>
          <c:order val="159"/>
          <c:tx>
            <c:strRef>
              <c:f>'Cleaned Data'!$A$161</c:f>
              <c:strCache>
                <c:ptCount val="1"/>
                <c:pt idx="0">
                  <c:v>Hive Intelligence</c:v>
                </c:pt>
              </c:strCache>
            </c:strRef>
          </c:tx>
          <c:spPr>
            <a:solidFill>
              <a:schemeClr val="accent4">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Data'!$F$161</c:f>
            </c:numRef>
          </c:val>
          <c:extLst>
            <c:ext xmlns:c16="http://schemas.microsoft.com/office/drawing/2014/chart" uri="{C3380CC4-5D6E-409C-BE32-E72D297353CC}">
              <c16:uniqueId val="{0000009F-6232-4A31-8AD3-35D8BD332703}"/>
            </c:ext>
          </c:extLst>
        </c:ser>
        <c:ser>
          <c:idx val="160"/>
          <c:order val="160"/>
          <c:tx>
            <c:strRef>
              <c:f>'Cleaned Data'!$A$162</c:f>
              <c:strCache>
                <c:ptCount val="1"/>
                <c:pt idx="0">
                  <c:v>Sentio AI</c:v>
                </c:pt>
              </c:strCache>
            </c:strRef>
          </c:tx>
          <c:spPr>
            <a:solidFill>
              <a:schemeClr val="accent5">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Data'!$F$162</c:f>
            </c:numRef>
          </c:val>
          <c:extLst>
            <c:ext xmlns:c16="http://schemas.microsoft.com/office/drawing/2014/chart" uri="{C3380CC4-5D6E-409C-BE32-E72D297353CC}">
              <c16:uniqueId val="{000000A0-6232-4A31-8AD3-35D8BD332703}"/>
            </c:ext>
          </c:extLst>
        </c:ser>
        <c:ser>
          <c:idx val="161"/>
          <c:order val="161"/>
          <c:tx>
            <c:strRef>
              <c:f>'Cleaned Data'!$A$163</c:f>
              <c:strCache>
                <c:ptCount val="1"/>
                <c:pt idx="0">
                  <c:v>Sylo</c:v>
                </c:pt>
              </c:strCache>
            </c:strRef>
          </c:tx>
          <c:spPr>
            <a:solidFill>
              <a:schemeClr val="accent6">
                <a:lumMod val="50000"/>
                <a:lumOff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Data'!$F$163</c:f>
            </c:numRef>
          </c:val>
          <c:extLst>
            <c:ext xmlns:c16="http://schemas.microsoft.com/office/drawing/2014/chart" uri="{C3380CC4-5D6E-409C-BE32-E72D297353CC}">
              <c16:uniqueId val="{000000A1-6232-4A31-8AD3-35D8BD332703}"/>
            </c:ext>
          </c:extLst>
        </c:ser>
        <c:ser>
          <c:idx val="162"/>
          <c:order val="162"/>
          <c:tx>
            <c:strRef>
              <c:f>'Cleaned Data'!$A$164</c:f>
              <c:strCache>
                <c:ptCount val="1"/>
                <c:pt idx="0">
                  <c:v>PornRocket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Data'!$F$164</c:f>
            </c:numRef>
          </c:val>
          <c:extLst>
            <c:ext xmlns:c16="http://schemas.microsoft.com/office/drawing/2014/chart" uri="{C3380CC4-5D6E-409C-BE32-E72D297353CC}">
              <c16:uniqueId val="{000000A2-6232-4A31-8AD3-35D8BD332703}"/>
            </c:ext>
          </c:extLst>
        </c:ser>
        <c:ser>
          <c:idx val="163"/>
          <c:order val="163"/>
          <c:tx>
            <c:strRef>
              <c:f>'Cleaned Data'!$A$165</c:f>
              <c:strCache>
                <c:ptCount val="1"/>
                <c:pt idx="0">
                  <c:v>FNCY</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Data'!$F$165</c:f>
            </c:numRef>
          </c:val>
          <c:extLst>
            <c:ext xmlns:c16="http://schemas.microsoft.com/office/drawing/2014/chart" uri="{C3380CC4-5D6E-409C-BE32-E72D297353CC}">
              <c16:uniqueId val="{000000A3-6232-4A31-8AD3-35D8BD332703}"/>
            </c:ext>
          </c:extLst>
        </c:ser>
        <c:ser>
          <c:idx val="164"/>
          <c:order val="164"/>
          <c:tx>
            <c:strRef>
              <c:f>'Cleaned Data'!$A$166</c:f>
              <c:strCache>
                <c:ptCount val="1"/>
                <c:pt idx="0">
                  <c:v>Hoge Finance</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Data'!$F$166</c:f>
            </c:numRef>
          </c:val>
          <c:extLst>
            <c:ext xmlns:c16="http://schemas.microsoft.com/office/drawing/2014/chart" uri="{C3380CC4-5D6E-409C-BE32-E72D297353CC}">
              <c16:uniqueId val="{000000A4-6232-4A31-8AD3-35D8BD332703}"/>
            </c:ext>
          </c:extLst>
        </c:ser>
        <c:ser>
          <c:idx val="165"/>
          <c:order val="165"/>
          <c:tx>
            <c:strRef>
              <c:f>'Cleaned Data'!$A$167</c:f>
              <c:strCache>
                <c:ptCount val="1"/>
                <c:pt idx="0">
                  <c:v>Big Data Protocol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Data'!$F$167</c:f>
            </c:numRef>
          </c:val>
          <c:extLst>
            <c:ext xmlns:c16="http://schemas.microsoft.com/office/drawing/2014/chart" uri="{C3380CC4-5D6E-409C-BE32-E72D297353CC}">
              <c16:uniqueId val="{000000A5-6232-4A31-8AD3-35D8BD332703}"/>
            </c:ext>
          </c:extLst>
        </c:ser>
        <c:ser>
          <c:idx val="166"/>
          <c:order val="166"/>
          <c:tx>
            <c:strRef>
              <c:f>'Cleaned Data'!$A$168</c:f>
              <c:strCache>
                <c:ptCount val="1"/>
                <c:pt idx="0">
                  <c:v>Byte</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Data'!$F$168</c:f>
            </c:numRef>
          </c:val>
          <c:extLst>
            <c:ext xmlns:c16="http://schemas.microsoft.com/office/drawing/2014/chart" uri="{C3380CC4-5D6E-409C-BE32-E72D297353CC}">
              <c16:uniqueId val="{000000A6-6232-4A31-8AD3-35D8BD332703}"/>
            </c:ext>
          </c:extLst>
        </c:ser>
        <c:ser>
          <c:idx val="167"/>
          <c:order val="167"/>
          <c:tx>
            <c:strRef>
              <c:f>'Cleaned Data'!$A$169</c:f>
              <c:strCache>
                <c:ptCount val="1"/>
                <c:pt idx="0">
                  <c:v>Universe Boss Coin</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Data'!$F$169</c:f>
            </c:numRef>
          </c:val>
          <c:extLst>
            <c:ext xmlns:c16="http://schemas.microsoft.com/office/drawing/2014/chart" uri="{C3380CC4-5D6E-409C-BE32-E72D297353CC}">
              <c16:uniqueId val="{000000A7-6232-4A31-8AD3-35D8BD332703}"/>
            </c:ext>
          </c:extLst>
        </c:ser>
        <c:ser>
          <c:idx val="168"/>
          <c:order val="168"/>
          <c:tx>
            <c:strRef>
              <c:f>'Cleaned Data'!$A$170</c:f>
              <c:strCache>
                <c:ptCount val="1"/>
                <c:pt idx="0">
                  <c:v>ADAMANT Messenger</c:v>
                </c:pt>
              </c:strCache>
            </c:strRef>
          </c:tx>
          <c:spPr>
            <a:solidFill>
              <a:schemeClr val="accent1">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Data'!$F$170</c:f>
            </c:numRef>
          </c:val>
          <c:extLst>
            <c:ext xmlns:c16="http://schemas.microsoft.com/office/drawing/2014/chart" uri="{C3380CC4-5D6E-409C-BE32-E72D297353CC}">
              <c16:uniqueId val="{000000A8-6232-4A31-8AD3-35D8BD332703}"/>
            </c:ext>
          </c:extLst>
        </c:ser>
        <c:ser>
          <c:idx val="169"/>
          <c:order val="169"/>
          <c:tx>
            <c:strRef>
              <c:f>'Cleaned Data'!$A$171</c:f>
              <c:strCache>
                <c:ptCount val="1"/>
                <c:pt idx="0">
                  <c:v>CHADETTE</c:v>
                </c:pt>
              </c:strCache>
            </c:strRef>
          </c:tx>
          <c:spPr>
            <a:solidFill>
              <a:schemeClr val="accent2">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Data'!$F$171</c:f>
            </c:numRef>
          </c:val>
          <c:extLst>
            <c:ext xmlns:c16="http://schemas.microsoft.com/office/drawing/2014/chart" uri="{C3380CC4-5D6E-409C-BE32-E72D297353CC}">
              <c16:uniqueId val="{000000A9-6232-4A31-8AD3-35D8BD332703}"/>
            </c:ext>
          </c:extLst>
        </c:ser>
        <c:ser>
          <c:idx val="170"/>
          <c:order val="170"/>
          <c:tx>
            <c:strRef>
              <c:f>'Cleaned Data'!$A$172</c:f>
              <c:strCache>
                <c:ptCount val="1"/>
                <c:pt idx="0">
                  <c:v>NULS</c:v>
                </c:pt>
              </c:strCache>
            </c:strRef>
          </c:tx>
          <c:spPr>
            <a:solidFill>
              <a:schemeClr val="accent3">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Data'!$F$172</c:f>
            </c:numRef>
          </c:val>
          <c:extLst>
            <c:ext xmlns:c16="http://schemas.microsoft.com/office/drawing/2014/chart" uri="{C3380CC4-5D6E-409C-BE32-E72D297353CC}">
              <c16:uniqueId val="{000000AA-6232-4A31-8AD3-35D8BD332703}"/>
            </c:ext>
          </c:extLst>
        </c:ser>
        <c:ser>
          <c:idx val="171"/>
          <c:order val="171"/>
          <c:tx>
            <c:strRef>
              <c:f>'Cleaned Data'!$A$173</c:f>
              <c:strCache>
                <c:ptCount val="1"/>
                <c:pt idx="0">
                  <c:v>Quq</c:v>
                </c:pt>
              </c:strCache>
            </c:strRef>
          </c:tx>
          <c:spPr>
            <a:solidFill>
              <a:schemeClr val="accent4">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Data'!$F$173</c:f>
            </c:numRef>
          </c:val>
          <c:extLst>
            <c:ext xmlns:c16="http://schemas.microsoft.com/office/drawing/2014/chart" uri="{C3380CC4-5D6E-409C-BE32-E72D297353CC}">
              <c16:uniqueId val="{000000AB-6232-4A31-8AD3-35D8BD332703}"/>
            </c:ext>
          </c:extLst>
        </c:ser>
        <c:ser>
          <c:idx val="172"/>
          <c:order val="172"/>
          <c:tx>
            <c:strRef>
              <c:f>'Cleaned Data'!$A$174</c:f>
              <c:strCache>
                <c:ptCount val="1"/>
                <c:pt idx="0">
                  <c:v>RigoBlock</c:v>
                </c:pt>
              </c:strCache>
            </c:strRef>
          </c:tx>
          <c:spPr>
            <a:solidFill>
              <a:schemeClr val="accent5">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Data'!$F$174</c:f>
            </c:numRef>
          </c:val>
          <c:extLst>
            <c:ext xmlns:c16="http://schemas.microsoft.com/office/drawing/2014/chart" uri="{C3380CC4-5D6E-409C-BE32-E72D297353CC}">
              <c16:uniqueId val="{000000AC-6232-4A31-8AD3-35D8BD332703}"/>
            </c:ext>
          </c:extLst>
        </c:ser>
        <c:ser>
          <c:idx val="173"/>
          <c:order val="173"/>
          <c:tx>
            <c:strRef>
              <c:f>'Cleaned Data'!$A$175</c:f>
              <c:strCache>
                <c:ptCount val="1"/>
                <c:pt idx="0">
                  <c:v>LEGIT</c:v>
                </c:pt>
              </c:strCache>
            </c:strRef>
          </c:tx>
          <c:spPr>
            <a:solidFill>
              <a:schemeClr val="accent6">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Data'!$F$175</c:f>
            </c:numRef>
          </c:val>
          <c:extLst>
            <c:ext xmlns:c16="http://schemas.microsoft.com/office/drawing/2014/chart" uri="{C3380CC4-5D6E-409C-BE32-E72D297353CC}">
              <c16:uniqueId val="{000000AD-6232-4A31-8AD3-35D8BD332703}"/>
            </c:ext>
          </c:extLst>
        </c:ser>
        <c:ser>
          <c:idx val="174"/>
          <c:order val="174"/>
          <c:tx>
            <c:strRef>
              <c:f>'Cleaned Data'!$A$176</c:f>
              <c:strCache>
                <c:ptCount val="1"/>
                <c:pt idx="0">
                  <c:v>Super Zero Protocol</c:v>
                </c:pt>
              </c:strCache>
            </c:strRef>
          </c:tx>
          <c:spPr>
            <a:solidFill>
              <a:schemeClr val="accent1">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Data'!$F$176</c:f>
            </c:numRef>
          </c:val>
          <c:extLst>
            <c:ext xmlns:c16="http://schemas.microsoft.com/office/drawing/2014/chart" uri="{C3380CC4-5D6E-409C-BE32-E72D297353CC}">
              <c16:uniqueId val="{000000AE-6232-4A31-8AD3-35D8BD332703}"/>
            </c:ext>
          </c:extLst>
        </c:ser>
        <c:ser>
          <c:idx val="175"/>
          <c:order val="175"/>
          <c:tx>
            <c:strRef>
              <c:f>'Cleaned Data'!$A$177</c:f>
              <c:strCache>
                <c:ptCount val="1"/>
                <c:pt idx="0">
                  <c:v>Letit</c:v>
                </c:pt>
              </c:strCache>
            </c:strRef>
          </c:tx>
          <c:spPr>
            <a:solidFill>
              <a:schemeClr val="accent2">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Data'!$F$177</c:f>
            </c:numRef>
          </c:val>
          <c:extLst>
            <c:ext xmlns:c16="http://schemas.microsoft.com/office/drawing/2014/chart" uri="{C3380CC4-5D6E-409C-BE32-E72D297353CC}">
              <c16:uniqueId val="{000000AF-6232-4A31-8AD3-35D8BD332703}"/>
            </c:ext>
          </c:extLst>
        </c:ser>
        <c:ser>
          <c:idx val="176"/>
          <c:order val="176"/>
          <c:tx>
            <c:strRef>
              <c:f>'Cleaned Data'!$A$178</c:f>
              <c:strCache>
                <c:ptCount val="1"/>
                <c:pt idx="0">
                  <c:v>GoChain</c:v>
                </c:pt>
              </c:strCache>
            </c:strRef>
          </c:tx>
          <c:spPr>
            <a:solidFill>
              <a:schemeClr val="accent3">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Data'!$F$178</c:f>
            </c:numRef>
          </c:val>
          <c:extLst>
            <c:ext xmlns:c16="http://schemas.microsoft.com/office/drawing/2014/chart" uri="{C3380CC4-5D6E-409C-BE32-E72D297353CC}">
              <c16:uniqueId val="{000000B0-6232-4A31-8AD3-35D8BD332703}"/>
            </c:ext>
          </c:extLst>
        </c:ser>
        <c:ser>
          <c:idx val="177"/>
          <c:order val="177"/>
          <c:tx>
            <c:strRef>
              <c:f>'Cleaned Data'!$A$179</c:f>
              <c:strCache>
                <c:ptCount val="1"/>
                <c:pt idx="0">
                  <c:v>BlackCardCoin</c:v>
                </c:pt>
              </c:strCache>
            </c:strRef>
          </c:tx>
          <c:spPr>
            <a:solidFill>
              <a:schemeClr val="accent4">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Data'!$F$179</c:f>
            </c:numRef>
          </c:val>
          <c:extLst>
            <c:ext xmlns:c16="http://schemas.microsoft.com/office/drawing/2014/chart" uri="{C3380CC4-5D6E-409C-BE32-E72D297353CC}">
              <c16:uniqueId val="{000000B1-6232-4A31-8AD3-35D8BD332703}"/>
            </c:ext>
          </c:extLst>
        </c:ser>
        <c:ser>
          <c:idx val="178"/>
          <c:order val="178"/>
          <c:tx>
            <c:strRef>
              <c:f>'Cleaned Data'!$A$180</c:f>
              <c:strCache>
                <c:ptCount val="1"/>
                <c:pt idx="0">
                  <c:v>Habibi</c:v>
                </c:pt>
              </c:strCache>
            </c:strRef>
          </c:tx>
          <c:spPr>
            <a:solidFill>
              <a:schemeClr val="accent5">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Data'!$F$180</c:f>
            </c:numRef>
          </c:val>
          <c:extLst>
            <c:ext xmlns:c16="http://schemas.microsoft.com/office/drawing/2014/chart" uri="{C3380CC4-5D6E-409C-BE32-E72D297353CC}">
              <c16:uniqueId val="{000000B2-6232-4A31-8AD3-35D8BD332703}"/>
            </c:ext>
          </c:extLst>
        </c:ser>
        <c:ser>
          <c:idx val="179"/>
          <c:order val="179"/>
          <c:tx>
            <c:strRef>
              <c:f>'Cleaned Data'!$A$181</c:f>
              <c:strCache>
                <c:ptCount val="1"/>
                <c:pt idx="0">
                  <c:v>Striker League</c:v>
                </c:pt>
              </c:strCache>
            </c:strRef>
          </c:tx>
          <c:spPr>
            <a:solidFill>
              <a:schemeClr val="accent6">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Data'!$F$181</c:f>
            </c:numRef>
          </c:val>
          <c:extLst>
            <c:ext xmlns:c16="http://schemas.microsoft.com/office/drawing/2014/chart" uri="{C3380CC4-5D6E-409C-BE32-E72D297353CC}">
              <c16:uniqueId val="{000000B3-6232-4A31-8AD3-35D8BD332703}"/>
            </c:ext>
          </c:extLst>
        </c:ser>
        <c:ser>
          <c:idx val="180"/>
          <c:order val="180"/>
          <c:tx>
            <c:strRef>
              <c:f>'Cleaned Data'!$A$182</c:f>
              <c:strCache>
                <c:ptCount val="1"/>
                <c:pt idx="0">
                  <c:v>Ctrl Wallet</c:v>
                </c:pt>
              </c:strCache>
            </c:strRef>
          </c:tx>
          <c:spPr>
            <a:solidFill>
              <a:schemeClr val="accent1">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Data'!$F$182</c:f>
            </c:numRef>
          </c:val>
          <c:extLst>
            <c:ext xmlns:c16="http://schemas.microsoft.com/office/drawing/2014/chart" uri="{C3380CC4-5D6E-409C-BE32-E72D297353CC}">
              <c16:uniqueId val="{000000B4-6232-4A31-8AD3-35D8BD332703}"/>
            </c:ext>
          </c:extLst>
        </c:ser>
        <c:ser>
          <c:idx val="181"/>
          <c:order val="181"/>
          <c:tx>
            <c:strRef>
              <c:f>'Cleaned Data'!$A$183</c:f>
              <c:strCache>
                <c:ptCount val="1"/>
                <c:pt idx="0">
                  <c:v>Etherisc DIP Token</c:v>
                </c:pt>
              </c:strCache>
            </c:strRef>
          </c:tx>
          <c:spPr>
            <a:solidFill>
              <a:schemeClr val="accent2">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Data'!$F$183</c:f>
            </c:numRef>
          </c:val>
          <c:extLst>
            <c:ext xmlns:c16="http://schemas.microsoft.com/office/drawing/2014/chart" uri="{C3380CC4-5D6E-409C-BE32-E72D297353CC}">
              <c16:uniqueId val="{000000B5-6232-4A31-8AD3-35D8BD332703}"/>
            </c:ext>
          </c:extLst>
        </c:ser>
        <c:ser>
          <c:idx val="182"/>
          <c:order val="182"/>
          <c:tx>
            <c:strRef>
              <c:f>'Cleaned Data'!$A$184</c:f>
              <c:strCache>
                <c:ptCount val="1"/>
                <c:pt idx="0">
                  <c:v>Rubic</c:v>
                </c:pt>
              </c:strCache>
            </c:strRef>
          </c:tx>
          <c:spPr>
            <a:solidFill>
              <a:schemeClr val="accent3">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Data'!$F$184</c:f>
            </c:numRef>
          </c:val>
          <c:extLst>
            <c:ext xmlns:c16="http://schemas.microsoft.com/office/drawing/2014/chart" uri="{C3380CC4-5D6E-409C-BE32-E72D297353CC}">
              <c16:uniqueId val="{000000B6-6232-4A31-8AD3-35D8BD332703}"/>
            </c:ext>
          </c:extLst>
        </c:ser>
        <c:ser>
          <c:idx val="183"/>
          <c:order val="183"/>
          <c:tx>
            <c:strRef>
              <c:f>'Cleaned Data'!$A$185</c:f>
              <c:strCache>
                <c:ptCount val="1"/>
                <c:pt idx="0">
                  <c:v>BizAuto</c:v>
                </c:pt>
              </c:strCache>
            </c:strRef>
          </c:tx>
          <c:spPr>
            <a:solidFill>
              <a:schemeClr val="accent4">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Data'!$F$185</c:f>
            </c:numRef>
          </c:val>
          <c:extLst>
            <c:ext xmlns:c16="http://schemas.microsoft.com/office/drawing/2014/chart" uri="{C3380CC4-5D6E-409C-BE32-E72D297353CC}">
              <c16:uniqueId val="{000000B7-6232-4A31-8AD3-35D8BD332703}"/>
            </c:ext>
          </c:extLst>
        </c:ser>
        <c:ser>
          <c:idx val="184"/>
          <c:order val="184"/>
          <c:tx>
            <c:strRef>
              <c:f>'Cleaned Data'!$A$186</c:f>
              <c:strCache>
                <c:ptCount val="1"/>
                <c:pt idx="0">
                  <c:v>BIGFACTS</c:v>
                </c:pt>
              </c:strCache>
            </c:strRef>
          </c:tx>
          <c:spPr>
            <a:solidFill>
              <a:schemeClr val="accent5">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Data'!$F$186</c:f>
            </c:numRef>
          </c:val>
          <c:extLst>
            <c:ext xmlns:c16="http://schemas.microsoft.com/office/drawing/2014/chart" uri="{C3380CC4-5D6E-409C-BE32-E72D297353CC}">
              <c16:uniqueId val="{000000B8-6232-4A31-8AD3-35D8BD332703}"/>
            </c:ext>
          </c:extLst>
        </c:ser>
        <c:ser>
          <c:idx val="185"/>
          <c:order val="185"/>
          <c:tx>
            <c:strRef>
              <c:f>'Cleaned Data'!$A$187</c:f>
              <c:strCache>
                <c:ptCount val="1"/>
                <c:pt idx="0">
                  <c:v>Didi Bam Bam</c:v>
                </c:pt>
              </c:strCache>
            </c:strRef>
          </c:tx>
          <c:spPr>
            <a:solidFill>
              <a:schemeClr val="accent6">
                <a:lumMod val="8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Data'!$F$187</c:f>
            </c:numRef>
          </c:val>
          <c:extLst>
            <c:ext xmlns:c16="http://schemas.microsoft.com/office/drawing/2014/chart" uri="{C3380CC4-5D6E-409C-BE32-E72D297353CC}">
              <c16:uniqueId val="{000000B9-6232-4A31-8AD3-35D8BD332703}"/>
            </c:ext>
          </c:extLst>
        </c:ser>
        <c:ser>
          <c:idx val="186"/>
          <c:order val="186"/>
          <c:tx>
            <c:strRef>
              <c:f>'Cleaned Data'!$A$188</c:f>
              <c:strCache>
                <c:ptCount val="1"/>
                <c:pt idx="0">
                  <c:v>Rebel Cars</c:v>
                </c:pt>
              </c:strCache>
            </c:strRef>
          </c:tx>
          <c:spPr>
            <a:solidFill>
              <a:schemeClr val="accent1">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Data'!$F$188</c:f>
            </c:numRef>
          </c:val>
          <c:extLst>
            <c:ext xmlns:c16="http://schemas.microsoft.com/office/drawing/2014/chart" uri="{C3380CC4-5D6E-409C-BE32-E72D297353CC}">
              <c16:uniqueId val="{000000BA-6232-4A31-8AD3-35D8BD332703}"/>
            </c:ext>
          </c:extLst>
        </c:ser>
        <c:ser>
          <c:idx val="187"/>
          <c:order val="187"/>
          <c:tx>
            <c:strRef>
              <c:f>'Cleaned Data'!$A$189</c:f>
              <c:strCache>
                <c:ptCount val="1"/>
                <c:pt idx="0">
                  <c:v>Vulcan Forged (LAVA)</c:v>
                </c:pt>
              </c:strCache>
            </c:strRef>
          </c:tx>
          <c:spPr>
            <a:solidFill>
              <a:schemeClr val="accent2">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Data'!$F$189</c:f>
            </c:numRef>
          </c:val>
          <c:extLst>
            <c:ext xmlns:c16="http://schemas.microsoft.com/office/drawing/2014/chart" uri="{C3380CC4-5D6E-409C-BE32-E72D297353CC}">
              <c16:uniqueId val="{000000BB-6232-4A31-8AD3-35D8BD332703}"/>
            </c:ext>
          </c:extLst>
        </c:ser>
        <c:ser>
          <c:idx val="188"/>
          <c:order val="188"/>
          <c:tx>
            <c:strRef>
              <c:f>'Cleaned Data'!$A$190</c:f>
              <c:strCache>
                <c:ptCount val="1"/>
                <c:pt idx="0">
                  <c:v>DeHub</c:v>
                </c:pt>
              </c:strCache>
            </c:strRef>
          </c:tx>
          <c:spPr>
            <a:solidFill>
              <a:schemeClr val="accent3">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Data'!$F$190</c:f>
            </c:numRef>
          </c:val>
          <c:extLst>
            <c:ext xmlns:c16="http://schemas.microsoft.com/office/drawing/2014/chart" uri="{C3380CC4-5D6E-409C-BE32-E72D297353CC}">
              <c16:uniqueId val="{000000BC-6232-4A31-8AD3-35D8BD332703}"/>
            </c:ext>
          </c:extLst>
        </c:ser>
        <c:ser>
          <c:idx val="189"/>
          <c:order val="189"/>
          <c:tx>
            <c:strRef>
              <c:f>'Cleaned Data'!$A$191</c:f>
              <c:strCache>
                <c:ptCount val="1"/>
                <c:pt idx="0">
                  <c:v>Mubarakah</c:v>
                </c:pt>
              </c:strCache>
            </c:strRef>
          </c:tx>
          <c:spPr>
            <a:solidFill>
              <a:schemeClr val="accent4">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Data'!$F$191</c:f>
            </c:numRef>
          </c:val>
          <c:extLst>
            <c:ext xmlns:c16="http://schemas.microsoft.com/office/drawing/2014/chart" uri="{C3380CC4-5D6E-409C-BE32-E72D297353CC}">
              <c16:uniqueId val="{000000BD-6232-4A31-8AD3-35D8BD332703}"/>
            </c:ext>
          </c:extLst>
        </c:ser>
        <c:ser>
          <c:idx val="190"/>
          <c:order val="190"/>
          <c:tx>
            <c:strRef>
              <c:f>'Cleaned Data'!$A$192</c:f>
              <c:strCache>
                <c:ptCount val="1"/>
                <c:pt idx="0">
                  <c:v>TOWER</c:v>
                </c:pt>
              </c:strCache>
            </c:strRef>
          </c:tx>
          <c:spPr>
            <a:solidFill>
              <a:schemeClr val="accent5">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Data'!$F$192</c:f>
            </c:numRef>
          </c:val>
          <c:extLst>
            <c:ext xmlns:c16="http://schemas.microsoft.com/office/drawing/2014/chart" uri="{C3380CC4-5D6E-409C-BE32-E72D297353CC}">
              <c16:uniqueId val="{000000BE-6232-4A31-8AD3-35D8BD332703}"/>
            </c:ext>
          </c:extLst>
        </c:ser>
        <c:ser>
          <c:idx val="191"/>
          <c:order val="191"/>
          <c:tx>
            <c:strRef>
              <c:f>'Cleaned Data'!$A$193</c:f>
              <c:strCache>
                <c:ptCount val="1"/>
                <c:pt idx="0">
                  <c:v>Octokn</c:v>
                </c:pt>
              </c:strCache>
            </c:strRef>
          </c:tx>
          <c:spPr>
            <a:solidFill>
              <a:schemeClr val="accent6">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Data'!$F$193</c:f>
            </c:numRef>
          </c:val>
          <c:extLst>
            <c:ext xmlns:c16="http://schemas.microsoft.com/office/drawing/2014/chart" uri="{C3380CC4-5D6E-409C-BE32-E72D297353CC}">
              <c16:uniqueId val="{000000BF-6232-4A31-8AD3-35D8BD332703}"/>
            </c:ext>
          </c:extLst>
        </c:ser>
        <c:ser>
          <c:idx val="192"/>
          <c:order val="192"/>
          <c:tx>
            <c:strRef>
              <c:f>'Cleaned Data'!$A$194</c:f>
              <c:strCache>
                <c:ptCount val="1"/>
                <c:pt idx="0">
                  <c:v>StarSlax</c:v>
                </c:pt>
              </c:strCache>
            </c:strRef>
          </c:tx>
          <c:spPr>
            <a:solidFill>
              <a:schemeClr val="accent1">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Data'!$F$194</c:f>
            </c:numRef>
          </c:val>
          <c:extLst>
            <c:ext xmlns:c16="http://schemas.microsoft.com/office/drawing/2014/chart" uri="{C3380CC4-5D6E-409C-BE32-E72D297353CC}">
              <c16:uniqueId val="{000000C0-6232-4A31-8AD3-35D8BD332703}"/>
            </c:ext>
          </c:extLst>
        </c:ser>
        <c:ser>
          <c:idx val="193"/>
          <c:order val="193"/>
          <c:tx>
            <c:strRef>
              <c:f>'Cleaned Data'!$A$195</c:f>
              <c:strCache>
                <c:ptCount val="1"/>
                <c:pt idx="0">
                  <c:v>Ertha</c:v>
                </c:pt>
              </c:strCache>
            </c:strRef>
          </c:tx>
          <c:spPr>
            <a:solidFill>
              <a:schemeClr val="accent2">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Data'!$F$195</c:f>
            </c:numRef>
          </c:val>
          <c:extLst>
            <c:ext xmlns:c16="http://schemas.microsoft.com/office/drawing/2014/chart" uri="{C3380CC4-5D6E-409C-BE32-E72D297353CC}">
              <c16:uniqueId val="{000000C1-6232-4A31-8AD3-35D8BD332703}"/>
            </c:ext>
          </c:extLst>
        </c:ser>
        <c:ser>
          <c:idx val="194"/>
          <c:order val="194"/>
          <c:tx>
            <c:strRef>
              <c:f>'Cleaned Data'!$A$196</c:f>
              <c:strCache>
                <c:ptCount val="1"/>
                <c:pt idx="0">
                  <c:v>SafeCoin</c:v>
                </c:pt>
              </c:strCache>
            </c:strRef>
          </c:tx>
          <c:spPr>
            <a:solidFill>
              <a:schemeClr val="accent3">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Data'!$F$196</c:f>
            </c:numRef>
          </c:val>
          <c:extLst>
            <c:ext xmlns:c16="http://schemas.microsoft.com/office/drawing/2014/chart" uri="{C3380CC4-5D6E-409C-BE32-E72D297353CC}">
              <c16:uniqueId val="{000000C2-6232-4A31-8AD3-35D8BD332703}"/>
            </c:ext>
          </c:extLst>
        </c:ser>
        <c:ser>
          <c:idx val="195"/>
          <c:order val="195"/>
          <c:tx>
            <c:strRef>
              <c:f>'Cleaned Data'!$A$197</c:f>
              <c:strCache>
                <c:ptCount val="1"/>
                <c:pt idx="0">
                  <c:v>Dolos The Bully</c:v>
                </c:pt>
              </c:strCache>
            </c:strRef>
          </c:tx>
          <c:spPr>
            <a:solidFill>
              <a:schemeClr val="accent4">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Data'!$F$197</c:f>
            </c:numRef>
          </c:val>
          <c:extLst>
            <c:ext xmlns:c16="http://schemas.microsoft.com/office/drawing/2014/chart" uri="{C3380CC4-5D6E-409C-BE32-E72D297353CC}">
              <c16:uniqueId val="{000000C3-6232-4A31-8AD3-35D8BD332703}"/>
            </c:ext>
          </c:extLst>
        </c:ser>
        <c:ser>
          <c:idx val="196"/>
          <c:order val="196"/>
          <c:tx>
            <c:strRef>
              <c:f>'Cleaned Data'!$A$198</c:f>
              <c:strCache>
                <c:ptCount val="1"/>
                <c:pt idx="0">
                  <c:v>LanLan Cat</c:v>
                </c:pt>
              </c:strCache>
            </c:strRef>
          </c:tx>
          <c:spPr>
            <a:solidFill>
              <a:schemeClr val="accent5">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Data'!$F$198</c:f>
            </c:numRef>
          </c:val>
          <c:extLst>
            <c:ext xmlns:c16="http://schemas.microsoft.com/office/drawing/2014/chart" uri="{C3380CC4-5D6E-409C-BE32-E72D297353CC}">
              <c16:uniqueId val="{000000C4-6232-4A31-8AD3-35D8BD332703}"/>
            </c:ext>
          </c:extLst>
        </c:ser>
        <c:ser>
          <c:idx val="197"/>
          <c:order val="197"/>
          <c:tx>
            <c:strRef>
              <c:f>'Cleaned Data'!$A$199</c:f>
              <c:strCache>
                <c:ptCount val="1"/>
                <c:pt idx="0">
                  <c:v>Torum</c:v>
                </c:pt>
              </c:strCache>
            </c:strRef>
          </c:tx>
          <c:spPr>
            <a:solidFill>
              <a:schemeClr val="accent6">
                <a:lumMod val="5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Data'!$F$199</c:f>
            </c:numRef>
          </c:val>
          <c:extLst>
            <c:ext xmlns:c16="http://schemas.microsoft.com/office/drawing/2014/chart" uri="{C3380CC4-5D6E-409C-BE32-E72D297353CC}">
              <c16:uniqueId val="{000000C5-6232-4A31-8AD3-35D8BD332703}"/>
            </c:ext>
          </c:extLst>
        </c:ser>
        <c:ser>
          <c:idx val="198"/>
          <c:order val="198"/>
          <c:tx>
            <c:strRef>
              <c:f>'Cleaned Data'!$A$200</c:f>
              <c:strCache>
                <c:ptCount val="1"/>
                <c:pt idx="0">
                  <c:v>SUNCAT</c:v>
                </c:pt>
              </c:strCache>
            </c:strRef>
          </c:tx>
          <c:spPr>
            <a:solidFill>
              <a:schemeClr val="accent1">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Data'!$F$200</c:f>
            </c:numRef>
          </c:val>
          <c:extLst>
            <c:ext xmlns:c16="http://schemas.microsoft.com/office/drawing/2014/chart" uri="{C3380CC4-5D6E-409C-BE32-E72D297353CC}">
              <c16:uniqueId val="{000000C6-6232-4A31-8AD3-35D8BD332703}"/>
            </c:ext>
          </c:extLst>
        </c:ser>
        <c:ser>
          <c:idx val="199"/>
          <c:order val="199"/>
          <c:tx>
            <c:strRef>
              <c:f>'Cleaned Data'!$A$201</c:f>
              <c:strCache>
                <c:ptCount val="1"/>
                <c:pt idx="0">
                  <c:v>HOME3</c:v>
                </c:pt>
              </c:strCache>
            </c:strRef>
          </c:tx>
          <c:spPr>
            <a:solidFill>
              <a:schemeClr val="accent2">
                <a:lumMod val="70000"/>
                <a:lumOff val="3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'Cleaned Data'!$F$1</c:f>
              <c:strCache>
                <c:ptCount val="1"/>
                <c:pt idx="0">
                  <c:v> Volume (24) USD_cleaned </c:v>
                </c:pt>
              </c:strCache>
            </c:strRef>
          </c:cat>
          <c:val>
            <c:numRef>
              <c:f>'Cleaned Data'!$F$201</c:f>
            </c:numRef>
          </c:val>
          <c:extLst>
            <c:ext xmlns:c16="http://schemas.microsoft.com/office/drawing/2014/chart" uri="{C3380CC4-5D6E-409C-BE32-E72D297353CC}">
              <c16:uniqueId val="{000000C7-6232-4A31-8AD3-35D8BD332703}"/>
            </c:ext>
          </c:extLst>
        </c:ser>
        <c:dLbls>
          <c:dLblPos val="inEnd"/>
          <c:showLegendKey val="0"/>
          <c:showVal val="1"/>
          <c:showCatName val="0"/>
          <c:showSerName val="0"/>
          <c:showPercent val="0"/>
          <c:showBubbleSize val="0"/>
        </c:dLbls>
        <c:gapWidth val="65"/>
        <c:axId val="783299647"/>
        <c:axId val="783299167"/>
      </c:barChart>
      <c:catAx>
        <c:axId val="783299647"/>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83299167"/>
        <c:crosses val="autoZero"/>
        <c:auto val="1"/>
        <c:lblAlgn val="ctr"/>
        <c:lblOffset val="100"/>
        <c:noMultiLvlLbl val="0"/>
      </c:catAx>
      <c:valAx>
        <c:axId val="78329916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783299647"/>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'Liquidity Analysis'!$J$1</c:f>
              <c:strCache>
                <c:ptCount val="1"/>
                <c:pt idx="0">
                  <c:v>chart volume</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800-42C1-B967-4A23E2697F2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800-42C1-B967-4A23E2697F2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800-42C1-B967-4A23E2697F21}"/>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'Liquidity Analysis'!$I$2:$I$10</c:f>
              <c:strCache>
                <c:ptCount val="3"/>
                <c:pt idx="0">
                  <c:v>Bitcoin</c:v>
                </c:pt>
                <c:pt idx="1">
                  <c:v>Ethereum</c:v>
                </c:pt>
                <c:pt idx="2">
                  <c:v>BNB</c:v>
                </c:pt>
              </c:strCache>
            </c:strRef>
          </c:cat>
          <c:val>
            <c:numRef>
              <c:f>'Liquidity Analysis'!$J$2:$J$10</c:f>
              <c:numCache>
                <c:formatCode>General</c:formatCode>
                <c:ptCount val="3"/>
                <c:pt idx="0">
                  <c:v>43170391288</c:v>
                </c:pt>
                <c:pt idx="1">
                  <c:v>14942260356</c:v>
                </c:pt>
                <c:pt idx="2">
                  <c:v>1497928447</c:v>
                </c:pt>
              </c:numCache>
            </c:numRef>
          </c:val>
          <c:extLst>
            <c:ext xmlns:c16="http://schemas.microsoft.com/office/drawing/2014/chart" uri="{C3380CC4-5D6E-409C-BE32-E72D297353CC}">
              <c16:uniqueId val="{00000006-F800-42C1-B967-4A23E2697F2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4</xdr:col>
      <xdr:colOff>723900</xdr:colOff>
      <xdr:row>201</xdr:row>
      <xdr:rowOff>23520</xdr:rowOff>
    </xdr:from>
    <xdr:to>
      <xdr:col>7</xdr:col>
      <xdr:colOff>355599</xdr:colOff>
      <xdr:row>216</xdr:row>
      <xdr:rowOff>31758</xdr:rowOff>
    </xdr:to>
    <xdr:graphicFrame macro="">
      <xdr:nvGraphicFramePr>
        <xdr:cNvPr id="2" name="Chart 1">
          <a:extLst>
            <a:ext uri="{FF2B5EF4-FFF2-40B4-BE49-F238E27FC236}">
              <a16:creationId xmlns:a16="http://schemas.microsoft.com/office/drawing/2014/main" id="{C16B125B-4F85-A3B8-1198-2ACD1B06B7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22</xdr:row>
      <xdr:rowOff>31750</xdr:rowOff>
    </xdr:from>
    <xdr:to>
      <xdr:col>2</xdr:col>
      <xdr:colOff>38100</xdr:colOff>
      <xdr:row>31</xdr:row>
      <xdr:rowOff>76200</xdr:rowOff>
    </xdr:to>
    <mc:AlternateContent xmlns:mc="http://schemas.openxmlformats.org/markup-compatibility/2006" xmlns:sle15="http://schemas.microsoft.com/office/drawing/2012/slicer">
      <mc:Choice Requires="sle15">
        <xdr:graphicFrame macro="">
          <xdr:nvGraphicFramePr>
            <xdr:cNvPr id="2" name="Price Category">
              <a:extLst>
                <a:ext uri="{FF2B5EF4-FFF2-40B4-BE49-F238E27FC236}">
                  <a16:creationId xmlns:a16="http://schemas.microsoft.com/office/drawing/2014/main" id="{71CD1FB5-E457-4810-A062-9538543205B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375762"/>
              <a:ext cx="1833347" cy="166722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6</xdr:col>
      <xdr:colOff>136525</xdr:colOff>
      <xdr:row>22</xdr:row>
      <xdr:rowOff>101926</xdr:rowOff>
    </xdr:from>
    <xdr:to>
      <xdr:col>11</xdr:col>
      <xdr:colOff>473075</xdr:colOff>
      <xdr:row>35</xdr:row>
      <xdr:rowOff>18741</xdr:rowOff>
    </xdr:to>
    <xdr:graphicFrame macro="">
      <xdr:nvGraphicFramePr>
        <xdr:cNvPr id="3" name="Chart 2">
          <a:extLst>
            <a:ext uri="{FF2B5EF4-FFF2-40B4-BE49-F238E27FC236}">
              <a16:creationId xmlns:a16="http://schemas.microsoft.com/office/drawing/2014/main" id="{7ECAD7BE-E749-80DC-62F4-02BF7DD3A3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1185341</xdr:colOff>
      <xdr:row>9</xdr:row>
      <xdr:rowOff>46567</xdr:rowOff>
    </xdr:from>
    <xdr:to>
      <xdr:col>9</xdr:col>
      <xdr:colOff>321741</xdr:colOff>
      <xdr:row>23</xdr:row>
      <xdr:rowOff>182034</xdr:rowOff>
    </xdr:to>
    <xdr:graphicFrame macro="">
      <xdr:nvGraphicFramePr>
        <xdr:cNvPr id="2" name="Chart 1">
          <a:extLst>
            <a:ext uri="{FF2B5EF4-FFF2-40B4-BE49-F238E27FC236}">
              <a16:creationId xmlns:a16="http://schemas.microsoft.com/office/drawing/2014/main" id="{A049BA45-502B-3D9C-8ADE-943A342A06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9</xdr:col>
      <xdr:colOff>438150</xdr:colOff>
      <xdr:row>205</xdr:row>
      <xdr:rowOff>50800</xdr:rowOff>
    </xdr:from>
    <xdr:to>
      <xdr:col>12</xdr:col>
      <xdr:colOff>332068</xdr:colOff>
      <xdr:row>213</xdr:row>
      <xdr:rowOff>133350</xdr:rowOff>
    </xdr:to>
    <mc:AlternateContent xmlns:mc="http://schemas.openxmlformats.org/markup-compatibility/2006" xmlns:sle15="http://schemas.microsoft.com/office/drawing/2012/slicer">
      <mc:Choice Requires="sle15">
        <xdr:graphicFrame macro="">
          <xdr:nvGraphicFramePr>
            <xdr:cNvPr id="2" name="Price Range">
              <a:extLst>
                <a:ext uri="{FF2B5EF4-FFF2-40B4-BE49-F238E27FC236}">
                  <a16:creationId xmlns:a16="http://schemas.microsoft.com/office/drawing/2014/main" id="{4CC55BA7-FE74-6FD5-4F62-C09375553A28}"/>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9547116" y="2284248"/>
              <a:ext cx="1831762" cy="157151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382439</xdr:colOff>
      <xdr:row>208</xdr:row>
      <xdr:rowOff>61767</xdr:rowOff>
    </xdr:from>
    <xdr:to>
      <xdr:col>19</xdr:col>
      <xdr:colOff>57555</xdr:colOff>
      <xdr:row>221</xdr:row>
      <xdr:rowOff>36367</xdr:rowOff>
    </xdr:to>
    <xdr:graphicFrame macro="">
      <xdr:nvGraphicFramePr>
        <xdr:cNvPr id="3" name="Chart 2">
          <a:extLst>
            <a:ext uri="{FF2B5EF4-FFF2-40B4-BE49-F238E27FC236}">
              <a16:creationId xmlns:a16="http://schemas.microsoft.com/office/drawing/2014/main" id="{444B3D13-826C-E205-6AB5-6A19C92F36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432940</xdr:colOff>
      <xdr:row>1</xdr:row>
      <xdr:rowOff>120651</xdr:rowOff>
    </xdr:from>
    <xdr:to>
      <xdr:col>21</xdr:col>
      <xdr:colOff>197069</xdr:colOff>
      <xdr:row>204</xdr:row>
      <xdr:rowOff>76638</xdr:rowOff>
    </xdr:to>
    <xdr:graphicFrame macro="">
      <xdr:nvGraphicFramePr>
        <xdr:cNvPr id="4" name="Chart 3">
          <a:extLst>
            <a:ext uri="{FF2B5EF4-FFF2-40B4-BE49-F238E27FC236}">
              <a16:creationId xmlns:a16="http://schemas.microsoft.com/office/drawing/2014/main" id="{C257242E-A254-2A22-CDC9-D60EAF8D84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168275</xdr:colOff>
      <xdr:row>12</xdr:row>
      <xdr:rowOff>57150</xdr:rowOff>
    </xdr:from>
    <xdr:to>
      <xdr:col>9</xdr:col>
      <xdr:colOff>47625</xdr:colOff>
      <xdr:row>27</xdr:row>
      <xdr:rowOff>38100</xdr:rowOff>
    </xdr:to>
    <xdr:graphicFrame macro="">
      <xdr:nvGraphicFramePr>
        <xdr:cNvPr id="2" name="Chart 1">
          <a:extLst>
            <a:ext uri="{FF2B5EF4-FFF2-40B4-BE49-F238E27FC236}">
              <a16:creationId xmlns:a16="http://schemas.microsoft.com/office/drawing/2014/main" id="{108402C9-4F45-4507-8FFF-C7DC7B1A2B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368300</xdr:colOff>
      <xdr:row>3</xdr:row>
      <xdr:rowOff>82550</xdr:rowOff>
    </xdr:from>
    <xdr:to>
      <xdr:col>8</xdr:col>
      <xdr:colOff>368300</xdr:colOff>
      <xdr:row>17</xdr:row>
      <xdr:rowOff>123822</xdr:rowOff>
    </xdr:to>
    <mc:AlternateContent xmlns:mc="http://schemas.openxmlformats.org/markup-compatibility/2006" xmlns:a14="http://schemas.microsoft.com/office/drawing/2010/main">
      <mc:Choice Requires="a14">
        <xdr:graphicFrame macro="">
          <xdr:nvGraphicFramePr>
            <xdr:cNvPr id="2" name="Price Range 1">
              <a:extLst>
                <a:ext uri="{FF2B5EF4-FFF2-40B4-BE49-F238E27FC236}">
                  <a16:creationId xmlns:a16="http://schemas.microsoft.com/office/drawing/2014/main" id="{DDECA7FC-A2CD-3C5C-868A-AE2C73955487}"/>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5461000" y="6350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7</xdr:row>
      <xdr:rowOff>13803</xdr:rowOff>
    </xdr:from>
    <xdr:to>
      <xdr:col>2</xdr:col>
      <xdr:colOff>600488</xdr:colOff>
      <xdr:row>16</xdr:row>
      <xdr:rowOff>74358</xdr:rowOff>
    </xdr:to>
    <mc:AlternateContent xmlns:mc="http://schemas.openxmlformats.org/markup-compatibility/2006" xmlns:sle15="http://schemas.microsoft.com/office/drawing/2012/slicer">
      <mc:Choice Requires="sle15">
        <xdr:graphicFrame macro="">
          <xdr:nvGraphicFramePr>
            <xdr:cNvPr id="2" name="Price Category 1">
              <a:extLst>
                <a:ext uri="{FF2B5EF4-FFF2-40B4-BE49-F238E27FC236}">
                  <a16:creationId xmlns:a16="http://schemas.microsoft.com/office/drawing/2014/main" id="{092FD538-7BF9-47C5-8183-DD7C20811EE9}"/>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0" y="1325216"/>
              <a:ext cx="1815271" cy="167566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10244</xdr:colOff>
      <xdr:row>16</xdr:row>
      <xdr:rowOff>75930</xdr:rowOff>
    </xdr:from>
    <xdr:to>
      <xdr:col>2</xdr:col>
      <xdr:colOff>603829</xdr:colOff>
      <xdr:row>25</xdr:row>
      <xdr:rowOff>75923</xdr:rowOff>
    </xdr:to>
    <mc:AlternateContent xmlns:mc="http://schemas.openxmlformats.org/markup-compatibility/2006" xmlns:sle15="http://schemas.microsoft.com/office/drawing/2012/slicer">
      <mc:Choice Requires="sle15">
        <xdr:graphicFrame macro="">
          <xdr:nvGraphicFramePr>
            <xdr:cNvPr id="3" name="Price Range 2">
              <a:extLst>
                <a:ext uri="{FF2B5EF4-FFF2-40B4-BE49-F238E27FC236}">
                  <a16:creationId xmlns:a16="http://schemas.microsoft.com/office/drawing/2014/main" id="{2B9FC8F8-5210-45EC-A5AC-A88D0A509CD5}"/>
                </a:ext>
              </a:extLst>
            </xdr:cNvPr>
            <xdr:cNvGraphicFramePr/>
          </xdr:nvGraphicFramePr>
          <xdr:xfrm>
            <a:off x="0" y="0"/>
            <a:ext cx="0" cy="0"/>
          </xdr:xfrm>
          <a:graphic>
            <a:graphicData uri="http://schemas.microsoft.com/office/drawing/2010/slicer">
              <sle:slicer xmlns:sle="http://schemas.microsoft.com/office/drawing/2010/slicer" name="Price Range 2"/>
            </a:graphicData>
          </a:graphic>
        </xdr:graphicFrame>
      </mc:Choice>
      <mc:Fallback xmlns="">
        <xdr:sp macro="" textlink="">
          <xdr:nvSpPr>
            <xdr:cNvPr id="0" name=""/>
            <xdr:cNvSpPr>
              <a:spLocks noTextEdit="1"/>
            </xdr:cNvSpPr>
          </xdr:nvSpPr>
          <xdr:spPr>
            <a:xfrm>
              <a:off x="10244" y="3002452"/>
              <a:ext cx="1808368" cy="16151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10242</xdr:colOff>
      <xdr:row>25</xdr:row>
      <xdr:rowOff>75928</xdr:rowOff>
    </xdr:from>
    <xdr:to>
      <xdr:col>2</xdr:col>
      <xdr:colOff>603829</xdr:colOff>
      <xdr:row>39</xdr:row>
      <xdr:rowOff>186357</xdr:rowOff>
    </xdr:to>
    <mc:AlternateContent xmlns:mc="http://schemas.openxmlformats.org/markup-compatibility/2006" xmlns:a14="http://schemas.microsoft.com/office/drawing/2010/main">
      <mc:Choice Requires="a14">
        <xdr:graphicFrame macro="">
          <xdr:nvGraphicFramePr>
            <xdr:cNvPr id="4" name="Price Range 3">
              <a:extLst>
                <a:ext uri="{FF2B5EF4-FFF2-40B4-BE49-F238E27FC236}">
                  <a16:creationId xmlns:a16="http://schemas.microsoft.com/office/drawing/2014/main" id="{3F55ED7B-19D7-4C37-B2E5-D99AE4D545F6}"/>
                </a:ext>
              </a:extLst>
            </xdr:cNvPr>
            <xdr:cNvGraphicFramePr/>
          </xdr:nvGraphicFramePr>
          <xdr:xfrm>
            <a:off x="0" y="0"/>
            <a:ext cx="0" cy="0"/>
          </xdr:xfrm>
          <a:graphic>
            <a:graphicData uri="http://schemas.microsoft.com/office/drawing/2010/slicer">
              <sle:slicer xmlns:sle="http://schemas.microsoft.com/office/drawing/2010/slicer" name="Price Range 3"/>
            </a:graphicData>
          </a:graphic>
        </xdr:graphicFrame>
      </mc:Choice>
      <mc:Fallback xmlns="">
        <xdr:sp macro="" textlink="">
          <xdr:nvSpPr>
            <xdr:cNvPr id="0" name=""/>
            <xdr:cNvSpPr>
              <a:spLocks noTextEdit="1"/>
            </xdr:cNvSpPr>
          </xdr:nvSpPr>
          <xdr:spPr>
            <a:xfrm>
              <a:off x="10242" y="4617558"/>
              <a:ext cx="1808370" cy="26228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577740</xdr:colOff>
      <xdr:row>18</xdr:row>
      <xdr:rowOff>65940</xdr:rowOff>
    </xdr:from>
    <xdr:to>
      <xdr:col>14</xdr:col>
      <xdr:colOff>577739</xdr:colOff>
      <xdr:row>30</xdr:row>
      <xdr:rowOff>42708</xdr:rowOff>
    </xdr:to>
    <xdr:graphicFrame macro="">
      <xdr:nvGraphicFramePr>
        <xdr:cNvPr id="8" name="Chart 7">
          <a:extLst>
            <a:ext uri="{FF2B5EF4-FFF2-40B4-BE49-F238E27FC236}">
              <a16:creationId xmlns:a16="http://schemas.microsoft.com/office/drawing/2014/main" id="{A913DE0E-4349-4CAE-B1D0-A1A8CCDD3D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268666</xdr:colOff>
      <xdr:row>30</xdr:row>
      <xdr:rowOff>48106</xdr:rowOff>
    </xdr:from>
    <xdr:to>
      <xdr:col>12</xdr:col>
      <xdr:colOff>574962</xdr:colOff>
      <xdr:row>39</xdr:row>
      <xdr:rowOff>168991</xdr:rowOff>
    </xdr:to>
    <xdr:graphicFrame macro="">
      <xdr:nvGraphicFramePr>
        <xdr:cNvPr id="9" name="Chart 8">
          <a:extLst>
            <a:ext uri="{FF2B5EF4-FFF2-40B4-BE49-F238E27FC236}">
              <a16:creationId xmlns:a16="http://schemas.microsoft.com/office/drawing/2014/main" id="{C9CA26A7-310D-4331-957F-6132DD7BCD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125094</xdr:colOff>
      <xdr:row>7</xdr:row>
      <xdr:rowOff>9614</xdr:rowOff>
    </xdr:from>
    <xdr:to>
      <xdr:col>12</xdr:col>
      <xdr:colOff>323939</xdr:colOff>
      <xdr:row>18</xdr:row>
      <xdr:rowOff>76970</xdr:rowOff>
    </xdr:to>
    <xdr:graphicFrame macro="">
      <xdr:nvGraphicFramePr>
        <xdr:cNvPr id="5" name="Chart 4">
          <a:extLst>
            <a:ext uri="{FF2B5EF4-FFF2-40B4-BE49-F238E27FC236}">
              <a16:creationId xmlns:a16="http://schemas.microsoft.com/office/drawing/2014/main" id="{70D7747F-F96F-47AC-991A-D2DA096B3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9621</xdr:colOff>
      <xdr:row>18</xdr:row>
      <xdr:rowOff>81723</xdr:rowOff>
    </xdr:from>
    <xdr:to>
      <xdr:col>9</xdr:col>
      <xdr:colOff>7896</xdr:colOff>
      <xdr:row>30</xdr:row>
      <xdr:rowOff>42853</xdr:rowOff>
    </xdr:to>
    <xdr:graphicFrame macro="">
      <xdr:nvGraphicFramePr>
        <xdr:cNvPr id="10" name="Chart 9">
          <a:extLst>
            <a:ext uri="{FF2B5EF4-FFF2-40B4-BE49-F238E27FC236}">
              <a16:creationId xmlns:a16="http://schemas.microsoft.com/office/drawing/2014/main" id="{96CEB210-A009-416B-989D-228C8DFB84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55.527550810184" createdVersion="8" refreshedVersion="8" minRefreshableVersion="3" recordCount="12" xr:uid="{565E0A26-0E1E-48E3-8645-646952D15306}">
  <cacheSource type="worksheet">
    <worksheetSource name="Table2"/>
  </cacheSource>
  <cacheFields count="4">
    <cacheField name="Coin Name" numFmtId="0">
      <sharedItems count="12">
        <s v="Bitcoin"/>
        <s v="Ethereum"/>
        <s v="BNB"/>
        <s v="USDC"/>
        <s v="Dogecoin"/>
        <s v="Cardano"/>
        <s v="Decentraland"/>
        <s v="Usual"/>
        <s v="Eurite"/>
        <s v="Orbiter Finance"/>
        <s v="Efinity Token"/>
        <s v="DeHub"/>
      </sharedItems>
    </cacheField>
    <cacheField name="Price" numFmtId="44">
      <sharedItems containsSemiMixedTypes="0" containsString="0" containsNumber="1" minValue="3.8420000000000001E-4" maxValue="104058.04"/>
    </cacheField>
    <cacheField name="Volume (24)" numFmtId="0">
      <sharedItems containsMixedTypes="1" containsNumber="1" containsInteger="1" minValue="22680605" maxValue="43170391288"/>
    </cacheField>
    <cacheField name="Price Category" numFmtId="0">
      <sharedItems count="2">
        <s v="Above $50"/>
        <s v="$0-$5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55.527551273146" createdVersion="8" refreshedVersion="8" minRefreshableVersion="3" recordCount="5" xr:uid="{7F2C8B9B-77E4-474F-8717-324188C9DCFF}">
  <cacheSource type="worksheet">
    <worksheetSource ref="A1:F6" sheet="Task 6"/>
  </cacheSource>
  <cacheFields count="6">
    <cacheField name="Price Range" numFmtId="0">
      <sharedItems count="5">
        <s v="$0-$0.05"/>
        <s v="$0.05-$0.5"/>
        <s v="$0.5-$5"/>
        <s v="$5-$50"/>
        <s v="&gt;$50"/>
      </sharedItems>
    </cacheField>
    <cacheField name="Coin Name" numFmtId="0">
      <sharedItems count="5">
        <s v="Venus DAI"/>
        <s v="Efinity Token"/>
        <s v="Falcon USD"/>
        <s v="Tornado Cash"/>
        <s v="Comtech Gold"/>
      </sharedItems>
    </cacheField>
    <cacheField name="Symbol" numFmtId="0">
      <sharedItems count="5">
        <s v="vDAI"/>
        <s v="EFI"/>
        <s v="USDf"/>
        <s v="TORN"/>
        <s v="CGO"/>
      </sharedItems>
    </cacheField>
    <cacheField name="Price (USD)" numFmtId="0">
      <sharedItems containsSemiMixedTypes="0" containsString="0" containsNumber="1" minValue="2.5340000000000001E-2" maxValue="108.17" count="5">
        <n v="2.5340000000000001E-2"/>
        <n v="0.1065"/>
        <n v="0.99970000000000003"/>
        <n v="9.67"/>
        <n v="108.17"/>
      </sharedItems>
    </cacheField>
    <cacheField name="Average Downfall (%)" numFmtId="0">
      <sharedItems containsSemiMixedTypes="0" containsString="0" containsNumber="1" minValue="0" maxValue="0.33333333300000001"/>
    </cacheField>
    <cacheField name="Total Coins" numFmtId="0">
      <sharedItems containsSemiMixedTypes="0" containsString="0" containsNumber="1" containsInteger="1" minValue="1" maxValue="110"/>
    </cacheField>
  </cacheFields>
  <extLst>
    <ext xmlns:x14="http://schemas.microsoft.com/office/spreadsheetml/2009/9/main" uri="{725AE2AE-9491-48be-B2B4-4EB974FC3084}">
      <x14:pivotCacheDefinition pivotCacheId="14585244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104058.04"/>
    <n v="43170391288"/>
    <x v="0"/>
  </r>
  <r>
    <x v="1"/>
    <n v="2483.59"/>
    <n v="14942260356"/>
    <x v="0"/>
  </r>
  <r>
    <x v="2"/>
    <n v="644.79"/>
    <n v="1497928447"/>
    <x v="0"/>
  </r>
  <r>
    <x v="3"/>
    <n v="0.99980000000000002"/>
    <n v="8208315257"/>
    <x v="1"/>
  </r>
  <r>
    <x v="4"/>
    <n v="0.16539999999999999"/>
    <n v="781433558"/>
    <x v="1"/>
  </r>
  <r>
    <x v="5"/>
    <n v="0.58079999999999998"/>
    <n v="539447597"/>
    <x v="1"/>
  </r>
  <r>
    <x v="6"/>
    <n v="0.2505"/>
    <n v="25685731"/>
    <x v="1"/>
  </r>
  <r>
    <x v="7"/>
    <n v="7.1980000000000002E-2"/>
    <n v="25758134"/>
    <x v="1"/>
  </r>
  <r>
    <x v="8"/>
    <n v="1.1499999999999999"/>
    <n v="22680605"/>
    <x v="1"/>
  </r>
  <r>
    <x v="9"/>
    <n v="8.3759999999999998E-3"/>
    <n v="40860347"/>
    <x v="1"/>
  </r>
  <r>
    <x v="10"/>
    <n v="0.1065"/>
    <s v=""/>
    <x v="1"/>
  </r>
  <r>
    <x v="11"/>
    <n v="3.8420000000000001E-4"/>
    <s v=""/>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x v="0"/>
    <x v="0"/>
    <n v="0"/>
    <n v="110"/>
  </r>
  <r>
    <x v="1"/>
    <x v="1"/>
    <x v="1"/>
    <x v="1"/>
    <n v="0"/>
    <n v="54"/>
  </r>
  <r>
    <x v="2"/>
    <x v="2"/>
    <x v="2"/>
    <x v="2"/>
    <n v="0"/>
    <n v="28"/>
  </r>
  <r>
    <x v="3"/>
    <x v="3"/>
    <x v="3"/>
    <x v="3"/>
    <n v="0.33333333300000001"/>
    <n v="1"/>
  </r>
  <r>
    <x v="4"/>
    <x v="4"/>
    <x v="4"/>
    <x v="4"/>
    <n v="0.2"/>
    <n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849ABFF-7CE4-48A3-85B2-7369DD3CE0AB}"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7" firstHeaderRow="1" firstDataRow="1" firstDataCol="1" rowPageCount="1" colPageCount="1"/>
  <pivotFields count="4">
    <pivotField axis="axisRow" showAll="0" measureFilter="1" sortType="descending">
      <items count="13">
        <item x="0"/>
        <item x="2"/>
        <item x="5"/>
        <item x="6"/>
        <item x="11"/>
        <item x="4"/>
        <item x="10"/>
        <item x="1"/>
        <item x="8"/>
        <item x="9"/>
        <item x="3"/>
        <item x="7"/>
        <item t="default"/>
      </items>
      <autoSortScope>
        <pivotArea dataOnly="0" outline="0" fieldPosition="0">
          <references count="1">
            <reference field="4294967294" count="1" selected="0">
              <x v="0"/>
            </reference>
          </references>
        </pivotArea>
      </autoSortScope>
    </pivotField>
    <pivotField numFmtId="44" showAll="0"/>
    <pivotField dataField="1" showAll="0"/>
    <pivotField axis="axisPage" showAll="0">
      <items count="3">
        <item x="1"/>
        <item x="0"/>
        <item t="default"/>
      </items>
    </pivotField>
  </pivotFields>
  <rowFields count="1">
    <field x="0"/>
  </rowFields>
  <rowItems count="4">
    <i>
      <x/>
    </i>
    <i>
      <x v="7"/>
    </i>
    <i>
      <x v="1"/>
    </i>
    <i t="grand">
      <x/>
    </i>
  </rowItems>
  <colItems count="1">
    <i/>
  </colItems>
  <pageFields count="1">
    <pageField fld="3" item="1" hier="-1"/>
  </pageFields>
  <dataFields count="1">
    <dataField name="Total Volume (24)" fld="2" baseField="0" baseItem="7"/>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7"/>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7DE848-1A3C-4DA1-8B10-E25F1EC2A670}" name="PivotTable4"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7" firstHeaderRow="0" firstDataRow="1" firstDataCol="1" rowPageCount="1" colPageCount="1"/>
  <pivotFields count="6">
    <pivotField axis="axisPage" showAll="0">
      <items count="6">
        <item x="0"/>
        <item x="1"/>
        <item x="2"/>
        <item x="3"/>
        <item x="4"/>
        <item t="default"/>
      </items>
    </pivotField>
    <pivotField axis="axisRow" showAll="0" sortType="descending">
      <items count="6">
        <item x="0"/>
        <item x="3"/>
        <item x="2"/>
        <item x="1"/>
        <item x="4"/>
        <item t="default"/>
      </items>
    </pivotField>
    <pivotField axis="axisRow" showAll="0">
      <items count="6">
        <item x="4"/>
        <item x="1"/>
        <item x="3"/>
        <item x="2"/>
        <item x="0"/>
        <item t="default"/>
      </items>
    </pivotField>
    <pivotField axis="axisRow" showAll="0">
      <items count="6">
        <item x="0"/>
        <item x="1"/>
        <item x="2"/>
        <item x="3"/>
        <item x="4"/>
        <item t="default"/>
      </items>
    </pivotField>
    <pivotField dataField="1" showAll="0"/>
    <pivotField dataField="1" showAll="0"/>
  </pivotFields>
  <rowFields count="3">
    <field x="1"/>
    <field x="2"/>
    <field x="3"/>
  </rowFields>
  <rowItems count="4">
    <i>
      <x v="4"/>
    </i>
    <i r="1">
      <x/>
    </i>
    <i r="2">
      <x v="4"/>
    </i>
    <i t="grand">
      <x/>
    </i>
  </rowItems>
  <colFields count="1">
    <field x="-2"/>
  </colFields>
  <colItems count="2">
    <i>
      <x/>
    </i>
    <i i="1">
      <x v="1"/>
    </i>
  </colItems>
  <pageFields count="1">
    <pageField fld="0" item="4" hier="-1"/>
  </pageFields>
  <dataFields count="2">
    <dataField name="Min. of Average Downfall (%)" fld="4" subtotal="min" baseField="1" baseItem="0"/>
    <dataField name="Sum of Total Coin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1" xr10:uid="{13BBC647-5E88-4096-8998-F2CE3B0CE794}" sourceName="Price Range">
  <pivotTables>
    <pivotTable tabId="10" name="PivotTable4"/>
  </pivotTables>
  <data>
    <tabular pivotCacheId="1458524407">
      <items count="5">
        <i x="0"/>
        <i x="1"/>
        <i x="2"/>
        <i x="3"/>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ECF3AA42-363D-4D9F-B1D4-9E9A6DA7373B}" sourceName="Price Category">
  <extLst>
    <x:ext xmlns:x15="http://schemas.microsoft.com/office/spreadsheetml/2010/11/main" uri="{2F2917AC-EB37-4324-AD4E-5DD8C200BD13}">
      <x15:tableSlicerCache tableId="2"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61B84EF8-96D2-415C-96A4-C1D8B3B5EA23}" sourceName="Price Range">
  <extLst>
    <x:ext xmlns:x15="http://schemas.microsoft.com/office/spreadsheetml/2010/11/main" uri="{2F2917AC-EB37-4324-AD4E-5DD8C200BD13}">
      <x15:tableSlicerCache tableId="4"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AC3B205D-AE57-4129-96DE-4B47E16BCC45}" cache="Slicer_Price_Category" caption="Price Category"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DCEDB413-8E29-4149-A2AC-20B2A38C2D7A}" cache="Slicer_Price_Range" caption="Price Rang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5DED4555-DAC3-4B0A-861D-4DDDF90333AF}" cache="Slicer_Price_Range1" caption="Price Rang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3" xr10:uid="{037DE505-B6B9-406C-8B07-4202CC97C77F}" cache="Slicer_Price_Range1" caption="Price Range"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3C1CFBED-6C4E-4E0C-8AAA-5356B61A6DF8}" cache="Slicer_Price_Category" caption="Price Category" rowHeight="251883"/>
  <slicer name="Price Range 2" xr10:uid="{8E3F70FD-3F38-4D5F-916D-D4C4F69A00E4}" cache="Slicer_Price_Range" caption="Price Rang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770C7EF-EA81-466A-9070-E53DA0FCAF68}" name="CryptoData" displayName="CryptoData" ref="A1:J201" totalsRowShown="0" headerRowBorderDxfId="17" tableBorderDxfId="16">
  <autoFilter ref="A1:J201" xr:uid="{C770C7EF-EA81-466A-9070-E53DA0FCAF68}">
    <filterColumn colId="9">
      <customFilters>
        <customFilter operator="notEqual" val=" "/>
      </customFilters>
    </filterColumn>
  </autoFilter>
  <tableColumns count="10">
    <tableColumn id="1" xr3:uid="{B592B3F4-D542-4F6D-B9D1-997CD75D76A7}" name="Coin Name"/>
    <tableColumn id="2" xr3:uid="{12DD1365-7900-4757-ACA7-B53096B287CB}" name="Symbol"/>
    <tableColumn id="3" xr3:uid="{E38F95A7-1272-4F5F-8F03-C5848FAE0124}" name="Price_Clean" dataDxfId="15" dataCellStyle="Currency"/>
    <tableColumn id="4" xr3:uid="{55E2839A-043C-47E0-BA9D-D5CB27D49786}" name="1h change(%)" dataDxfId="14"/>
    <tableColumn id="5" xr3:uid="{4DB14B47-8078-4A38-83B9-2F1C9A56D7CA}" name="Market_Cap_Clean" dataDxfId="13" dataCellStyle="Currency"/>
    <tableColumn id="6" xr3:uid="{538175A5-2644-4248-AD6B-34607BE4AF02}" name="Volume (24) USD_cleaned" dataDxfId="12" dataCellStyle="Currency"/>
    <tableColumn id="7" xr3:uid="{1A122323-9273-4E9F-AC0C-F0D897FE33FA}" name="Circulating_Supply_Clean" dataDxfId="11"/>
    <tableColumn id="8" xr3:uid="{58C7CCAF-E832-4EFF-82E3-39B8DAE9FC14}" name="Vowel_BCD" dataDxfId="10" dataCellStyle="Currency">
      <calculatedColumnFormula>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calculatedColumnFormula>
    </tableColumn>
    <tableColumn id="9" xr3:uid="{265F9BC3-DB18-4782-84D2-305749856E19}" name="Volume_Rank" dataDxfId="9">
      <calculatedColumnFormula>IF(H2="Yes",COUNTIFS($H$2:$H$201,"Yes",$F$2:$F$201,"&gt;"&amp;F2)+COUNTIFS($H$2:H2,"Yes",$F$2:F2,F2),"")</calculatedColumnFormula>
    </tableColumn>
    <tableColumn id="10" xr3:uid="{D10816BF-17F5-401A-956E-4A863C219E74}" name="Top 10" dataDxfId="8" dataCellStyle="Currency">
      <calculatedColumnFormula>IF(AND(H2="Yes",F2&lt;&gt;"",ISNUMBER(F2),I2&gt;=1,I2&lt;=10),"Top 10","")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74D3B1-342F-4215-90F4-C920D6838CF2}" name="Table2" displayName="Table2" ref="A1:D13" totalsRowShown="0">
  <autoFilter ref="A1:D13" xr:uid="{B374D3B1-342F-4215-90F4-C920D6838CF2}">
    <filterColumn colId="3">
      <filters>
        <filter val="Above $50"/>
      </filters>
    </filterColumn>
  </autoFilter>
  <tableColumns count="4">
    <tableColumn id="1" xr3:uid="{0241A004-CEA7-4B74-A11D-8E3303599E44}" name="Coin Name"/>
    <tableColumn id="2" xr3:uid="{61902FDD-F1F8-49A6-A6C5-0CB74C56A07E}" name="Price" dataDxfId="7">
      <calculatedColumnFormula>_xlfn.XLOOKUP(A2,CryptoData[Coin Name],CryptoData[Price_Clean],"Not Found")</calculatedColumnFormula>
    </tableColumn>
    <tableColumn id="3" xr3:uid="{5A35DCC3-F3DF-4334-A289-9A2E4DA280C0}" name="Volume (24)">
      <calculatedColumnFormula>_xlfn.XLOOKUP(A2,CryptoData[Coin Name],CryptoData[Volume (24) USD_cleaned],"")</calculatedColumnFormula>
    </tableColumn>
    <tableColumn id="4" xr3:uid="{750AF154-51B1-4102-9CF2-0F2AF6E4F670}" name="Price Category">
      <calculatedColumnFormula>IF(B2&lt;=50,"$0-$50","Above $50")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2AB9C5B-0D73-41BF-99B5-177BE36E782F}" name="Table3" displayName="Table3" ref="F1:G7" totalsRowCount="1">
  <autoFilter ref="F1:G6" xr:uid="{D2AB9C5B-0D73-41BF-99B5-177BE36E782F}"/>
  <tableColumns count="2">
    <tableColumn id="1" xr3:uid="{21D18A33-122C-43C3-9F08-D33981E94402}" name="Coin" totalsRowLabel="Total Vol" dataDxfId="6" totalsRowDxfId="5">
      <calculatedColumnFormula>INDEX($A$2:$A$13,MATCH(LARGE($C$2:$C$13,ROWS($F$2:F2)),$C$2:$C$13,0))</calculatedColumnFormula>
    </tableColumn>
    <tableColumn id="2" xr3:uid="{2E97ABA0-6C28-4617-8677-9B2B6674CEB2}" name="Volume" totalsRowFunction="custom" dataDxfId="4" totalsRowDxfId="3">
      <calculatedColumnFormula>INDEX($C$2:$C$13,MATCH(F2,$A$2:$A$13,0))</calculatedColumnFormula>
      <totalsRowFormula>SUM($G$2:$G$6)</totalsRow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9E840B-C65B-4EDC-85C4-8EE34D230B31}" name="Table4" displayName="Table4" ref="A1:I201" totalsRowShown="0">
  <autoFilter ref="A1:I201" xr:uid="{9E9E840B-C65B-4EDC-85C4-8EE34D230B31}">
    <filterColumn colId="6">
      <filters>
        <filter val="Greater than or equal to $10"/>
      </filters>
    </filterColumn>
  </autoFilter>
  <tableColumns count="9">
    <tableColumn id="1" xr3:uid="{3AA09CE6-5836-4057-B8A7-81E295C7EB2A}" name="Coin Name">
      <calculatedColumnFormula>'Cleaned Data'!A2</calculatedColumnFormula>
    </tableColumn>
    <tableColumn id="2" xr3:uid="{D517CAAA-8891-423E-B29E-D95037865FE2}" name="Symbol">
      <calculatedColumnFormula>'Cleaned Data'!B2</calculatedColumnFormula>
    </tableColumn>
    <tableColumn id="3" xr3:uid="{7C67A3DE-170A-442E-86ED-A572A39FB147}" name="Current Price" dataDxfId="2">
      <calculatedColumnFormula>'Cleaned Data'!C2</calculatedColumnFormula>
    </tableColumn>
    <tableColumn id="4" xr3:uid="{3B86871F-B6E6-4F26-9718-6A2C77469D8A}" name="1h Change %" dataDxfId="1">
      <calculatedColumnFormula>'Cleaned Data'!D2</calculatedColumnFormula>
    </tableColumn>
    <tableColumn id="5" xr3:uid="{B402E15B-60ED-4CAB-84A0-F3BFB3E259CD}" name="Previous 1h Price ">
      <calculatedColumnFormula>C2/(1+D2)</calculatedColumnFormula>
    </tableColumn>
    <tableColumn id="6" xr3:uid="{D4747CA0-29BF-436D-A1FF-E51E42C4F7E9}" name="Price Change" dataDxfId="0">
      <calculatedColumnFormula>C2-E2</calculatedColumnFormula>
    </tableColumn>
    <tableColumn id="7" xr3:uid="{A52652E2-B954-45A2-9CE8-6FC9990C0F62}" name="Price Range">
      <calculatedColumnFormula>IF(C2&lt;=10,"Up to $10","Greater than or equal to $10")</calculatedColumnFormula>
    </tableColumn>
    <tableColumn id="8" xr3:uid="{0DB6619A-5D89-4CC2-B546-A2FD4DF2F9B2}" name="Price Change Rank">
      <calculatedColumnFormula>_xlfn.RANK.EQ(F2,$F$2:$F$201,0)</calculatedColumnFormula>
    </tableColumn>
    <tableColumn id="9" xr3:uid="{FE42AEA2-8DDE-493E-9B15-A6F4005042DA}" name="Top 10">
      <calculatedColumnFormula>IF(H2&lt;=10,"Top 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4.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microsoft.com/office/2007/relationships/slicer" Target="../slicers/slicer4.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C8E39-C574-4AE9-AEB6-421ED2E9788A}">
  <sheetPr codeName="Sheet1"/>
  <dimension ref="A1:L201"/>
  <sheetViews>
    <sheetView topLeftCell="J1" workbookViewId="0">
      <selection activeCell="I4" sqref="I4"/>
    </sheetView>
  </sheetViews>
  <sheetFormatPr defaultRowHeight="14.5"/>
  <cols>
    <col min="1" max="1" width="44.36328125" bestFit="1" customWidth="1"/>
    <col min="2" max="2" width="12.26953125" bestFit="1" customWidth="1"/>
    <col min="3" max="3" width="11.36328125" bestFit="1" customWidth="1"/>
    <col min="4" max="4" width="12.90625" bestFit="1" customWidth="1"/>
    <col min="5" max="5" width="10.26953125" bestFit="1" customWidth="1"/>
    <col min="6" max="6" width="16" bestFit="1" customWidth="1"/>
    <col min="7" max="7" width="16.36328125" bestFit="1" customWidth="1"/>
    <col min="8" max="9" width="16.36328125" style="1" customWidth="1"/>
    <col min="10" max="10" width="18" style="1" bestFit="1" customWidth="1"/>
    <col min="11" max="12" width="16.36328125" style="1" customWidth="1"/>
    <col min="13" max="13" width="13.6328125" bestFit="1" customWidth="1"/>
    <col min="14" max="14" width="12.54296875" bestFit="1" customWidth="1"/>
    <col min="15" max="15" width="8.453125" bestFit="1" customWidth="1"/>
    <col min="16" max="16" width="10.1796875" bestFit="1" customWidth="1"/>
    <col min="17" max="17" width="16.6328125" bestFit="1" customWidth="1"/>
  </cols>
  <sheetData>
    <row r="1" spans="1:12">
      <c r="A1" s="2" t="s">
        <v>0</v>
      </c>
      <c r="B1" s="2" t="s">
        <v>1</v>
      </c>
      <c r="C1" s="2" t="s">
        <v>2</v>
      </c>
      <c r="D1" s="2" t="s">
        <v>3</v>
      </c>
      <c r="E1" s="2" t="s">
        <v>4</v>
      </c>
      <c r="F1" s="2" t="s">
        <v>5</v>
      </c>
      <c r="G1" s="2" t="s">
        <v>6</v>
      </c>
      <c r="H1"/>
      <c r="I1"/>
      <c r="J1"/>
      <c r="K1"/>
      <c r="L1" s="35"/>
    </row>
    <row r="2" spans="1:12">
      <c r="A2" s="1" t="s">
        <v>7</v>
      </c>
      <c r="B2" s="1" t="s">
        <v>8</v>
      </c>
      <c r="C2" s="34">
        <v>104058.04</v>
      </c>
      <c r="D2" s="3">
        <v>2.3999999999999998E-3</v>
      </c>
      <c r="E2" s="1" t="s">
        <v>9</v>
      </c>
      <c r="F2" s="29">
        <v>43170391288</v>
      </c>
      <c r="G2" s="1" t="s">
        <v>10</v>
      </c>
      <c r="J2" s="3"/>
    </row>
    <row r="3" spans="1:12">
      <c r="A3" s="1" t="s">
        <v>11</v>
      </c>
      <c r="B3" s="1" t="s">
        <v>12</v>
      </c>
      <c r="C3" s="34">
        <v>2483.59</v>
      </c>
      <c r="D3" s="3">
        <v>7.6E-3</v>
      </c>
      <c r="E3" s="1" t="s">
        <v>13</v>
      </c>
      <c r="F3" s="29">
        <v>14942260356</v>
      </c>
      <c r="G3" s="1" t="s">
        <v>14</v>
      </c>
      <c r="J3" s="3"/>
    </row>
    <row r="4" spans="1:12">
      <c r="A4" s="1" t="s">
        <v>15</v>
      </c>
      <c r="B4" s="1" t="s">
        <v>16</v>
      </c>
      <c r="C4" s="34">
        <v>0.99990000000000001</v>
      </c>
      <c r="D4" s="3">
        <v>4.0000000000000002E-4</v>
      </c>
      <c r="E4" s="1" t="s">
        <v>17</v>
      </c>
      <c r="F4" s="29">
        <v>60772601456</v>
      </c>
      <c r="G4" s="1" t="s">
        <v>18</v>
      </c>
      <c r="J4" s="3"/>
    </row>
    <row r="5" spans="1:12">
      <c r="A5" s="1" t="s">
        <v>19</v>
      </c>
      <c r="B5" s="1" t="s">
        <v>19</v>
      </c>
      <c r="C5" s="34">
        <v>2.12</v>
      </c>
      <c r="D5" s="3">
        <v>5.4999999999999997E-3</v>
      </c>
      <c r="E5" s="1" t="s">
        <v>20</v>
      </c>
      <c r="F5" s="29">
        <v>2046333328</v>
      </c>
      <c r="G5" s="1" t="s">
        <v>21</v>
      </c>
      <c r="J5" s="3"/>
    </row>
    <row r="6" spans="1:12">
      <c r="A6" s="1" t="s">
        <v>22</v>
      </c>
      <c r="B6" s="1" t="s">
        <v>22</v>
      </c>
      <c r="C6" s="34">
        <v>644.79</v>
      </c>
      <c r="D6" s="3">
        <v>1E-3</v>
      </c>
      <c r="E6" s="1" t="s">
        <v>23</v>
      </c>
      <c r="F6" s="29">
        <v>1497928447</v>
      </c>
      <c r="G6" s="1" t="s">
        <v>24</v>
      </c>
      <c r="J6" s="3"/>
    </row>
    <row r="7" spans="1:12">
      <c r="A7" s="1" t="s">
        <v>25</v>
      </c>
      <c r="B7" s="1" t="s">
        <v>26</v>
      </c>
      <c r="C7" s="34">
        <v>142.66999999999999</v>
      </c>
      <c r="D7" s="3">
        <v>9.9000000000000008E-3</v>
      </c>
      <c r="E7" s="1" t="s">
        <v>27</v>
      </c>
      <c r="F7" s="29">
        <v>2904341748</v>
      </c>
      <c r="G7" s="1" t="s">
        <v>28</v>
      </c>
      <c r="J7" s="3"/>
    </row>
    <row r="8" spans="1:12">
      <c r="A8" s="1" t="s">
        <v>29</v>
      </c>
      <c r="B8" s="1" t="s">
        <v>29</v>
      </c>
      <c r="C8" s="34">
        <v>0.99980000000000002</v>
      </c>
      <c r="D8" s="3">
        <v>2.9999999999999997E-4</v>
      </c>
      <c r="E8" s="1" t="s">
        <v>30</v>
      </c>
      <c r="F8" s="29">
        <v>8208315257</v>
      </c>
      <c r="G8" s="1" t="s">
        <v>31</v>
      </c>
      <c r="J8" s="3"/>
    </row>
    <row r="9" spans="1:12">
      <c r="A9" s="1" t="s">
        <v>32</v>
      </c>
      <c r="B9" s="1" t="s">
        <v>33</v>
      </c>
      <c r="C9" s="34">
        <v>0.27339999999999998</v>
      </c>
      <c r="D9" s="3">
        <v>3.5999999999999999E-3</v>
      </c>
      <c r="E9" s="1" t="s">
        <v>34</v>
      </c>
      <c r="F9" s="29">
        <v>445406337</v>
      </c>
      <c r="G9" s="1" t="s">
        <v>35</v>
      </c>
      <c r="J9" s="3"/>
    </row>
    <row r="10" spans="1:12">
      <c r="A10" s="1" t="s">
        <v>36</v>
      </c>
      <c r="B10" s="1" t="s">
        <v>37</v>
      </c>
      <c r="C10" s="34">
        <v>0.16539999999999999</v>
      </c>
      <c r="D10" s="3">
        <v>9.4000000000000004E-3</v>
      </c>
      <c r="E10" s="1" t="s">
        <v>38</v>
      </c>
      <c r="F10" s="29">
        <v>781433558</v>
      </c>
      <c r="G10" s="1" t="s">
        <v>39</v>
      </c>
      <c r="J10" s="3"/>
    </row>
    <row r="11" spans="1:12">
      <c r="A11" s="1" t="s">
        <v>40</v>
      </c>
      <c r="B11" s="1" t="s">
        <v>41</v>
      </c>
      <c r="C11" s="34">
        <v>0.58079999999999998</v>
      </c>
      <c r="D11" s="3">
        <v>9.5999999999999992E-3</v>
      </c>
      <c r="E11" s="1" t="s">
        <v>42</v>
      </c>
      <c r="F11" s="29">
        <v>539447597</v>
      </c>
      <c r="G11" s="1" t="s">
        <v>43</v>
      </c>
      <c r="J11" s="3"/>
    </row>
    <row r="12" spans="1:12">
      <c r="A12" s="1" t="s">
        <v>44</v>
      </c>
      <c r="B12" s="1" t="s">
        <v>45</v>
      </c>
      <c r="C12" s="34">
        <v>9.0959999999999999E-3</v>
      </c>
      <c r="D12" s="3">
        <v>1.4E-2</v>
      </c>
      <c r="E12" s="1" t="s">
        <v>46</v>
      </c>
      <c r="F12" s="29">
        <v>60468868</v>
      </c>
      <c r="G12" s="1" t="s">
        <v>47</v>
      </c>
      <c r="J12" s="3"/>
    </row>
    <row r="13" spans="1:12">
      <c r="A13" s="1" t="s">
        <v>48</v>
      </c>
      <c r="B13" s="1" t="s">
        <v>49</v>
      </c>
      <c r="C13" s="34">
        <v>0.42049999999999998</v>
      </c>
      <c r="D13" s="3">
        <v>1.5699999999999999E-2</v>
      </c>
      <c r="E13" s="1" t="s">
        <v>50</v>
      </c>
      <c r="F13" s="29">
        <v>22854744</v>
      </c>
      <c r="G13" s="1" t="s">
        <v>51</v>
      </c>
      <c r="J13" s="3"/>
    </row>
    <row r="14" spans="1:12">
      <c r="A14" s="1" t="s">
        <v>52</v>
      </c>
      <c r="B14" s="1" t="s">
        <v>53</v>
      </c>
      <c r="C14" s="34">
        <v>2.06</v>
      </c>
      <c r="D14" s="3">
        <v>1.17E-2</v>
      </c>
      <c r="E14" s="1" t="s">
        <v>54</v>
      </c>
      <c r="F14" s="29">
        <v>110228545</v>
      </c>
      <c r="G14" s="1" t="s">
        <v>55</v>
      </c>
      <c r="J14" s="3"/>
    </row>
    <row r="15" spans="1:12">
      <c r="A15" s="1" t="s">
        <v>56</v>
      </c>
      <c r="B15" s="1" t="s">
        <v>57</v>
      </c>
      <c r="C15" s="34">
        <v>0.54430000000000001</v>
      </c>
      <c r="D15" s="3">
        <v>8.2000000000000007E-3</v>
      </c>
      <c r="E15" s="1" t="s">
        <v>58</v>
      </c>
      <c r="F15" s="29">
        <v>14386742</v>
      </c>
      <c r="G15" s="1" t="s">
        <v>59</v>
      </c>
      <c r="J15" s="3"/>
    </row>
    <row r="16" spans="1:12">
      <c r="A16" s="1" t="s">
        <v>60</v>
      </c>
      <c r="B16" s="1" t="s">
        <v>61</v>
      </c>
      <c r="C16" s="34">
        <v>0.52070000000000005</v>
      </c>
      <c r="D16" s="3">
        <v>6.6E-3</v>
      </c>
      <c r="E16" s="1" t="s">
        <v>62</v>
      </c>
      <c r="F16" s="29">
        <v>14355952</v>
      </c>
      <c r="G16" s="1" t="s">
        <v>63</v>
      </c>
      <c r="J16" s="3"/>
    </row>
    <row r="17" spans="1:10">
      <c r="A17" s="1" t="s">
        <v>64</v>
      </c>
      <c r="B17" s="1" t="s">
        <v>65</v>
      </c>
      <c r="C17" s="34">
        <v>9.4530000000000003E-2</v>
      </c>
      <c r="D17" s="3">
        <v>2.2700000000000001E-2</v>
      </c>
      <c r="E17" s="1" t="s">
        <v>66</v>
      </c>
      <c r="F17" s="29">
        <v>27917564</v>
      </c>
      <c r="G17" s="1" t="s">
        <v>67</v>
      </c>
      <c r="J17" s="3"/>
    </row>
    <row r="18" spans="1:10">
      <c r="A18" s="1" t="s">
        <v>68</v>
      </c>
      <c r="B18" s="1" t="s">
        <v>69</v>
      </c>
      <c r="C18" s="34">
        <v>0.33939999999999998</v>
      </c>
      <c r="D18" s="3">
        <v>0.01</v>
      </c>
      <c r="E18" s="1" t="s">
        <v>70</v>
      </c>
      <c r="F18" s="29">
        <v>21157648</v>
      </c>
      <c r="G18" s="1" t="s">
        <v>71</v>
      </c>
      <c r="J18" s="3"/>
    </row>
    <row r="19" spans="1:10">
      <c r="A19" s="1" t="s">
        <v>72</v>
      </c>
      <c r="B19" s="1" t="s">
        <v>73</v>
      </c>
      <c r="C19" s="34">
        <v>0.46260000000000001</v>
      </c>
      <c r="D19" s="3">
        <v>3.0499999999999999E-2</v>
      </c>
      <c r="E19" s="1" t="s">
        <v>74</v>
      </c>
      <c r="F19" s="29">
        <v>70946476</v>
      </c>
      <c r="G19" s="1" t="s">
        <v>75</v>
      </c>
      <c r="J19" s="3"/>
    </row>
    <row r="20" spans="1:10">
      <c r="A20" s="1" t="s">
        <v>76</v>
      </c>
      <c r="B20" s="1" t="s">
        <v>77</v>
      </c>
      <c r="C20" s="34">
        <v>0.2505</v>
      </c>
      <c r="D20" s="3">
        <v>1.37E-2</v>
      </c>
      <c r="E20" s="1" t="s">
        <v>78</v>
      </c>
      <c r="F20" s="29">
        <v>25685731</v>
      </c>
      <c r="G20" s="1" t="s">
        <v>79</v>
      </c>
      <c r="J20" s="3"/>
    </row>
    <row r="21" spans="1:10">
      <c r="A21" s="1" t="s">
        <v>80</v>
      </c>
      <c r="B21" s="1" t="s">
        <v>81</v>
      </c>
      <c r="C21" s="34">
        <v>0.99760000000000004</v>
      </c>
      <c r="D21" s="3">
        <v>1E-4</v>
      </c>
      <c r="E21" s="1" t="s">
        <v>82</v>
      </c>
      <c r="F21" s="29">
        <v>60347807</v>
      </c>
      <c r="G21" s="1" t="s">
        <v>83</v>
      </c>
      <c r="J21" s="3"/>
    </row>
    <row r="22" spans="1:10">
      <c r="A22" s="1" t="s">
        <v>84</v>
      </c>
      <c r="B22" s="1" t="s">
        <v>85</v>
      </c>
      <c r="C22" s="34">
        <v>4.45</v>
      </c>
      <c r="D22" s="3">
        <v>1E-4</v>
      </c>
      <c r="E22" s="1" t="s">
        <v>86</v>
      </c>
      <c r="F22" s="29">
        <v>58305626</v>
      </c>
      <c r="G22" s="1" t="s">
        <v>87</v>
      </c>
      <c r="J22" s="3"/>
    </row>
    <row r="23" spans="1:10">
      <c r="A23" s="1" t="s">
        <v>88</v>
      </c>
      <c r="B23" s="1" t="s">
        <v>89</v>
      </c>
      <c r="C23" s="34">
        <v>4.32</v>
      </c>
      <c r="D23" s="3">
        <v>4.4999999999999997E-3</v>
      </c>
      <c r="E23" s="1" t="s">
        <v>90</v>
      </c>
      <c r="F23" s="29">
        <v>17245756</v>
      </c>
      <c r="G23" s="1" t="s">
        <v>91</v>
      </c>
      <c r="J23" s="3"/>
    </row>
    <row r="24" spans="1:10">
      <c r="A24" s="1" t="s">
        <v>92</v>
      </c>
      <c r="B24" s="1" t="s">
        <v>93</v>
      </c>
      <c r="C24" s="34">
        <v>3.26</v>
      </c>
      <c r="D24" s="3">
        <v>5.9999999999999995E-4</v>
      </c>
      <c r="E24" s="1" t="s">
        <v>94</v>
      </c>
      <c r="F24" s="29">
        <v>486945</v>
      </c>
      <c r="G24" s="1" t="s">
        <v>95</v>
      </c>
      <c r="J24" s="3"/>
    </row>
    <row r="25" spans="1:10">
      <c r="A25" s="1" t="s">
        <v>96</v>
      </c>
      <c r="B25" s="1" t="s">
        <v>97</v>
      </c>
      <c r="C25" s="34">
        <v>1.43</v>
      </c>
      <c r="D25" s="3">
        <v>5.1999999999999998E-3</v>
      </c>
      <c r="E25" s="1" t="s">
        <v>98</v>
      </c>
      <c r="F25" s="29">
        <v>2595867</v>
      </c>
      <c r="G25" s="1" t="s">
        <v>99</v>
      </c>
      <c r="J25" s="3"/>
    </row>
    <row r="26" spans="1:10">
      <c r="A26" s="1" t="s">
        <v>100</v>
      </c>
      <c r="B26" s="1" t="s">
        <v>101</v>
      </c>
      <c r="C26" s="34">
        <v>0.99770000000000003</v>
      </c>
      <c r="D26" s="3">
        <v>1E-4</v>
      </c>
      <c r="E26" s="1" t="s">
        <v>102</v>
      </c>
      <c r="F26" s="29">
        <v>6754108</v>
      </c>
      <c r="G26" s="1" t="s">
        <v>103</v>
      </c>
      <c r="J26" s="3"/>
    </row>
    <row r="27" spans="1:10">
      <c r="A27" s="1" t="s">
        <v>104</v>
      </c>
      <c r="B27" s="1" t="s">
        <v>105</v>
      </c>
      <c r="C27" s="34">
        <v>1.0900000000000001</v>
      </c>
      <c r="D27" s="3">
        <v>2.9999999999999997E-4</v>
      </c>
      <c r="E27" s="1" t="s">
        <v>106</v>
      </c>
      <c r="F27" s="29">
        <v>2293702</v>
      </c>
      <c r="G27" s="1" t="s">
        <v>107</v>
      </c>
      <c r="J27" s="3"/>
    </row>
    <row r="28" spans="1:10">
      <c r="A28" s="1" t="s">
        <v>108</v>
      </c>
      <c r="B28" s="1" t="s">
        <v>109</v>
      </c>
      <c r="C28" s="34">
        <v>0.99970000000000003</v>
      </c>
      <c r="D28" s="3">
        <v>0</v>
      </c>
      <c r="E28" s="1" t="s">
        <v>110</v>
      </c>
      <c r="F28" s="29">
        <v>3265776</v>
      </c>
      <c r="G28" s="1" t="s">
        <v>111</v>
      </c>
      <c r="J28" s="3"/>
    </row>
    <row r="29" spans="1:10">
      <c r="A29" s="1" t="s">
        <v>112</v>
      </c>
      <c r="B29" s="1" t="s">
        <v>113</v>
      </c>
      <c r="C29" s="34">
        <v>1.6469999999999999E-2</v>
      </c>
      <c r="D29" s="3">
        <v>5.1999999999999998E-3</v>
      </c>
      <c r="E29" s="1" t="s">
        <v>114</v>
      </c>
      <c r="F29" s="29">
        <v>183208</v>
      </c>
      <c r="G29" s="1" t="s">
        <v>115</v>
      </c>
      <c r="J29" s="3"/>
    </row>
    <row r="30" spans="1:10">
      <c r="A30" s="1" t="s">
        <v>116</v>
      </c>
      <c r="B30" s="1" t="s">
        <v>117</v>
      </c>
      <c r="C30" s="34">
        <v>0.49459999999999998</v>
      </c>
      <c r="D30" s="3">
        <v>3.0300000000000001E-2</v>
      </c>
      <c r="E30" s="1" t="s">
        <v>118</v>
      </c>
      <c r="F30" s="29">
        <v>138536</v>
      </c>
      <c r="G30" s="1" t="s">
        <v>119</v>
      </c>
      <c r="J30" s="3"/>
    </row>
    <row r="31" spans="1:10">
      <c r="A31" s="1" t="s">
        <v>120</v>
      </c>
      <c r="B31" s="1" t="s">
        <v>121</v>
      </c>
      <c r="C31" s="34">
        <v>7.3550000000000004E-4</v>
      </c>
      <c r="D31" s="3">
        <v>6.6E-3</v>
      </c>
      <c r="E31" s="1" t="s">
        <v>122</v>
      </c>
      <c r="F31" s="29">
        <v>772538</v>
      </c>
      <c r="G31" s="1" t="s">
        <v>123</v>
      </c>
      <c r="J31" s="3"/>
    </row>
    <row r="32" spans="1:10">
      <c r="A32" s="1" t="s">
        <v>124</v>
      </c>
      <c r="B32" s="1" t="s">
        <v>125</v>
      </c>
      <c r="C32" s="34">
        <v>0.1205</v>
      </c>
      <c r="D32" s="3">
        <v>1.14E-2</v>
      </c>
      <c r="E32" s="1" t="s">
        <v>126</v>
      </c>
      <c r="F32" s="29">
        <v>4884866</v>
      </c>
      <c r="G32" s="1" t="s">
        <v>127</v>
      </c>
      <c r="J32" s="3"/>
    </row>
    <row r="33" spans="1:10">
      <c r="A33" s="1" t="s">
        <v>128</v>
      </c>
      <c r="B33" s="1" t="s">
        <v>129</v>
      </c>
      <c r="C33" s="34">
        <v>0.1336</v>
      </c>
      <c r="D33" s="3">
        <v>3.2000000000000002E-3</v>
      </c>
      <c r="E33" s="1" t="s">
        <v>130</v>
      </c>
      <c r="F33" s="29">
        <v>3268919</v>
      </c>
      <c r="G33" s="1" t="s">
        <v>131</v>
      </c>
      <c r="J33" s="3"/>
    </row>
    <row r="34" spans="1:10">
      <c r="A34" s="1" t="s">
        <v>132</v>
      </c>
      <c r="B34" s="1" t="s">
        <v>133</v>
      </c>
      <c r="C34" s="34">
        <v>0.1043</v>
      </c>
      <c r="D34" s="3">
        <v>6.3E-3</v>
      </c>
      <c r="E34" s="1" t="s">
        <v>134</v>
      </c>
      <c r="F34" s="29">
        <v>4086544</v>
      </c>
      <c r="G34" s="1" t="s">
        <v>135</v>
      </c>
      <c r="J34" s="3"/>
    </row>
    <row r="35" spans="1:10">
      <c r="A35" s="1" t="s">
        <v>136</v>
      </c>
      <c r="B35" s="1" t="s">
        <v>136</v>
      </c>
      <c r="C35" s="34">
        <v>5.0279999999999998E-2</v>
      </c>
      <c r="D35" s="3">
        <v>9.4999999999999998E-3</v>
      </c>
      <c r="E35" s="1" t="s">
        <v>137</v>
      </c>
      <c r="F35" s="29">
        <v>5574946</v>
      </c>
      <c r="G35" s="1" t="s">
        <v>138</v>
      </c>
      <c r="J35" s="3"/>
    </row>
    <row r="36" spans="1:10">
      <c r="A36" s="1" t="s">
        <v>139</v>
      </c>
      <c r="B36" s="1" t="s">
        <v>140</v>
      </c>
      <c r="C36" s="34">
        <v>1.1480000000000001E-2</v>
      </c>
      <c r="D36" s="3">
        <v>1.1299999999999999E-2</v>
      </c>
      <c r="E36" s="1" t="s">
        <v>141</v>
      </c>
      <c r="F36" s="29">
        <v>6571559</v>
      </c>
      <c r="G36" s="1" t="s">
        <v>142</v>
      </c>
      <c r="J36" s="3"/>
    </row>
    <row r="37" spans="1:10">
      <c r="A37" s="1" t="s">
        <v>143</v>
      </c>
      <c r="B37" s="1" t="s">
        <v>144</v>
      </c>
      <c r="C37" s="34">
        <v>0.15359999999999999</v>
      </c>
      <c r="D37" s="3">
        <v>1.01E-2</v>
      </c>
      <c r="E37" s="1" t="s">
        <v>145</v>
      </c>
      <c r="F37" s="29">
        <v>11365168</v>
      </c>
      <c r="G37" s="1" t="s">
        <v>146</v>
      </c>
      <c r="J37" s="3"/>
    </row>
    <row r="38" spans="1:10">
      <c r="A38" s="1" t="s">
        <v>147</v>
      </c>
      <c r="B38" s="1" t="s">
        <v>148</v>
      </c>
      <c r="C38" s="34">
        <v>0.16800000000000001</v>
      </c>
      <c r="D38" s="3">
        <v>2.8999999999999998E-3</v>
      </c>
      <c r="E38" s="1" t="s">
        <v>149</v>
      </c>
      <c r="F38" s="29">
        <v>44129611</v>
      </c>
      <c r="G38" s="1" t="s">
        <v>150</v>
      </c>
      <c r="J38" s="3"/>
    </row>
    <row r="39" spans="1:10">
      <c r="A39" s="1" t="s">
        <v>151</v>
      </c>
      <c r="B39" s="1" t="s">
        <v>152</v>
      </c>
      <c r="C39" s="34">
        <v>0.1111</v>
      </c>
      <c r="D39" s="3">
        <v>7.1000000000000004E-3</v>
      </c>
      <c r="E39" s="1" t="s">
        <v>153</v>
      </c>
      <c r="F39" s="29">
        <v>1068402</v>
      </c>
      <c r="G39" s="1" t="s">
        <v>154</v>
      </c>
      <c r="J39" s="3"/>
    </row>
    <row r="40" spans="1:10">
      <c r="A40" s="1" t="s">
        <v>155</v>
      </c>
      <c r="B40" s="1" t="s">
        <v>156</v>
      </c>
      <c r="C40" s="34">
        <v>0.1537</v>
      </c>
      <c r="D40" s="3">
        <v>5.4000000000000003E-3</v>
      </c>
      <c r="E40" s="1" t="s">
        <v>157</v>
      </c>
      <c r="F40" s="29">
        <v>7215924</v>
      </c>
      <c r="G40" s="1" t="s">
        <v>158</v>
      </c>
      <c r="J40" s="3"/>
    </row>
    <row r="41" spans="1:10">
      <c r="A41" s="1" t="s">
        <v>159</v>
      </c>
      <c r="B41" s="1" t="s">
        <v>160</v>
      </c>
      <c r="C41" s="34">
        <v>1.813E-2</v>
      </c>
      <c r="D41" s="3">
        <v>1.5900000000000001E-2</v>
      </c>
      <c r="E41" s="1" t="s">
        <v>161</v>
      </c>
      <c r="F41" s="29">
        <v>8143928</v>
      </c>
      <c r="G41" s="1" t="s">
        <v>162</v>
      </c>
      <c r="J41" s="3"/>
    </row>
    <row r="42" spans="1:10">
      <c r="A42" s="1" t="s">
        <v>163</v>
      </c>
      <c r="B42" s="1" t="s">
        <v>164</v>
      </c>
      <c r="C42" s="34">
        <v>7.1980000000000002E-2</v>
      </c>
      <c r="D42" s="3">
        <v>1.14E-2</v>
      </c>
      <c r="E42" s="1" t="s">
        <v>165</v>
      </c>
      <c r="F42" s="29">
        <v>25758134</v>
      </c>
      <c r="G42" s="1" t="s">
        <v>166</v>
      </c>
      <c r="J42" s="3"/>
    </row>
    <row r="43" spans="1:10">
      <c r="A43" s="1" t="s">
        <v>167</v>
      </c>
      <c r="B43" s="1" t="s">
        <v>168</v>
      </c>
      <c r="C43" s="34">
        <v>0.73740000000000006</v>
      </c>
      <c r="D43" s="3">
        <v>6.8999999999999999E-3</v>
      </c>
      <c r="E43" s="1" t="s">
        <v>169</v>
      </c>
      <c r="F43" s="29">
        <v>522812</v>
      </c>
      <c r="G43" s="1" t="s">
        <v>170</v>
      </c>
      <c r="J43" s="3"/>
    </row>
    <row r="44" spans="1:10">
      <c r="A44" s="1" t="s">
        <v>171</v>
      </c>
      <c r="B44" s="1" t="s">
        <v>172</v>
      </c>
      <c r="C44" s="34">
        <v>1.5169999999999999E-3</v>
      </c>
      <c r="D44" s="3">
        <v>1.8800000000000001E-2</v>
      </c>
      <c r="E44" s="1" t="s">
        <v>173</v>
      </c>
      <c r="F44" s="29">
        <v>15717380</v>
      </c>
      <c r="G44" s="1" t="s">
        <v>174</v>
      </c>
      <c r="J44" s="3"/>
    </row>
    <row r="45" spans="1:10">
      <c r="A45" s="1" t="s">
        <v>175</v>
      </c>
      <c r="B45" s="1" t="s">
        <v>176</v>
      </c>
      <c r="C45" s="34">
        <v>0.15379999999999999</v>
      </c>
      <c r="D45" s="3">
        <v>1.4E-3</v>
      </c>
      <c r="E45" s="1" t="s">
        <v>177</v>
      </c>
      <c r="F45" s="29">
        <v>4873644</v>
      </c>
      <c r="G45" s="1" t="s">
        <v>178</v>
      </c>
      <c r="J45" s="3"/>
    </row>
    <row r="46" spans="1:10">
      <c r="A46" s="1" t="s">
        <v>179</v>
      </c>
      <c r="B46" s="1" t="s">
        <v>180</v>
      </c>
      <c r="C46" s="34">
        <v>1.5440000000000001E-2</v>
      </c>
      <c r="D46" s="3">
        <v>1.6999999999999999E-3</v>
      </c>
      <c r="E46" s="1" t="s">
        <v>181</v>
      </c>
      <c r="F46" s="29">
        <v>1356568</v>
      </c>
      <c r="G46" s="1" t="s">
        <v>182</v>
      </c>
      <c r="J46" s="3"/>
    </row>
    <row r="47" spans="1:10">
      <c r="A47" s="1" t="s">
        <v>183</v>
      </c>
      <c r="B47" s="1" t="s">
        <v>184</v>
      </c>
      <c r="C47" s="34">
        <v>9.5740000000000006E-2</v>
      </c>
      <c r="D47" s="3">
        <v>1.09E-2</v>
      </c>
      <c r="E47" s="1" t="s">
        <v>185</v>
      </c>
      <c r="F47" s="29">
        <v>9190572</v>
      </c>
      <c r="G47" s="1" t="s">
        <v>186</v>
      </c>
      <c r="J47" s="3"/>
    </row>
    <row r="48" spans="1:10">
      <c r="A48" s="1" t="s">
        <v>187</v>
      </c>
      <c r="B48" s="1" t="s">
        <v>188</v>
      </c>
      <c r="C48" s="34">
        <v>3.2290000000000001E-3</v>
      </c>
      <c r="D48" s="3">
        <v>3.4200000000000001E-2</v>
      </c>
      <c r="E48" s="1" t="s">
        <v>189</v>
      </c>
      <c r="F48" s="29">
        <v>7399528</v>
      </c>
      <c r="G48" s="1" t="s">
        <v>190</v>
      </c>
      <c r="J48" s="3"/>
    </row>
    <row r="49" spans="1:10">
      <c r="A49" s="1" t="s">
        <v>191</v>
      </c>
      <c r="B49" s="1" t="s">
        <v>192</v>
      </c>
      <c r="C49" s="34">
        <v>7.8759999999999997E-2</v>
      </c>
      <c r="D49" s="3">
        <v>1.61E-2</v>
      </c>
      <c r="E49" s="1" t="s">
        <v>193</v>
      </c>
      <c r="F49" s="29">
        <v>12716009</v>
      </c>
      <c r="G49" s="1" t="s">
        <v>194</v>
      </c>
      <c r="J49" s="3"/>
    </row>
    <row r="50" spans="1:10">
      <c r="A50" s="1" t="s">
        <v>195</v>
      </c>
      <c r="B50" s="1" t="s">
        <v>196</v>
      </c>
      <c r="C50" s="34">
        <v>4.2049999999999997E-2</v>
      </c>
      <c r="D50" s="3">
        <v>2.4400000000000002E-2</v>
      </c>
      <c r="E50" s="1" t="s">
        <v>197</v>
      </c>
      <c r="F50" s="29">
        <v>135025163</v>
      </c>
      <c r="G50" s="1" t="s">
        <v>198</v>
      </c>
      <c r="J50" s="3"/>
    </row>
    <row r="51" spans="1:10">
      <c r="A51" s="1" t="s">
        <v>199</v>
      </c>
      <c r="B51" s="1" t="s">
        <v>200</v>
      </c>
      <c r="C51" s="34">
        <v>5.9470000000000002E-2</v>
      </c>
      <c r="D51" s="3">
        <v>2.0000000000000001E-4</v>
      </c>
      <c r="E51" s="1" t="s">
        <v>201</v>
      </c>
      <c r="F51" s="29">
        <v>12909</v>
      </c>
      <c r="G51" s="1" t="s">
        <v>202</v>
      </c>
      <c r="J51" s="3"/>
    </row>
    <row r="52" spans="1:10">
      <c r="A52" s="1" t="s">
        <v>203</v>
      </c>
      <c r="B52" s="1" t="s">
        <v>204</v>
      </c>
      <c r="C52" s="34">
        <v>6.2719999999999998E-3</v>
      </c>
      <c r="D52" s="3">
        <v>5.3E-3</v>
      </c>
      <c r="E52" s="1" t="s">
        <v>205</v>
      </c>
      <c r="F52" s="29">
        <v>16850030</v>
      </c>
      <c r="G52" s="1" t="s">
        <v>206</v>
      </c>
      <c r="J52" s="3"/>
    </row>
    <row r="53" spans="1:10">
      <c r="A53" s="1" t="s">
        <v>207</v>
      </c>
      <c r="B53" s="1" t="s">
        <v>208</v>
      </c>
      <c r="C53" s="34">
        <v>6.6350000000000003E-3</v>
      </c>
      <c r="D53" s="3">
        <v>1.32E-2</v>
      </c>
      <c r="E53" s="1" t="s">
        <v>209</v>
      </c>
      <c r="F53" s="29">
        <v>448016</v>
      </c>
      <c r="G53" s="1" t="s">
        <v>210</v>
      </c>
      <c r="J53" s="3"/>
    </row>
    <row r="54" spans="1:10">
      <c r="A54" s="1" t="s">
        <v>211</v>
      </c>
      <c r="B54" s="1" t="s">
        <v>212</v>
      </c>
      <c r="C54" s="34">
        <v>1.1769999999999999E-2</v>
      </c>
      <c r="D54" s="3">
        <v>1.8E-3</v>
      </c>
      <c r="E54" s="1" t="s">
        <v>213</v>
      </c>
      <c r="F54" s="29">
        <v>817224</v>
      </c>
      <c r="G54" s="1" t="s">
        <v>214</v>
      </c>
      <c r="J54" s="3"/>
    </row>
    <row r="55" spans="1:10">
      <c r="A55" s="1" t="s">
        <v>215</v>
      </c>
      <c r="B55" s="1" t="s">
        <v>216</v>
      </c>
      <c r="C55" s="34">
        <v>1.253E-3</v>
      </c>
      <c r="D55" s="3">
        <v>1.5299999999999999E-2</v>
      </c>
      <c r="E55" s="1" t="s">
        <v>217</v>
      </c>
      <c r="F55" s="29">
        <v>5590436</v>
      </c>
      <c r="G55" s="1" t="s">
        <v>218</v>
      </c>
      <c r="J55" s="3"/>
    </row>
    <row r="56" spans="1:10">
      <c r="A56" s="1" t="s">
        <v>219</v>
      </c>
      <c r="B56" s="1" t="s">
        <v>220</v>
      </c>
      <c r="C56" s="34">
        <v>8.6260000000000003E-2</v>
      </c>
      <c r="D56" s="3">
        <v>9.1999999999999998E-3</v>
      </c>
      <c r="E56" s="1" t="s">
        <v>221</v>
      </c>
      <c r="F56" s="29">
        <v>2536218</v>
      </c>
      <c r="G56" s="1" t="s">
        <v>222</v>
      </c>
      <c r="J56" s="3"/>
    </row>
    <row r="57" spans="1:10">
      <c r="A57" s="1" t="s">
        <v>223</v>
      </c>
      <c r="B57" s="1" t="s">
        <v>224</v>
      </c>
      <c r="C57" s="34">
        <v>1.1499999999999999</v>
      </c>
      <c r="D57" s="3">
        <v>6.9999999999999999E-4</v>
      </c>
      <c r="E57" s="1" t="s">
        <v>225</v>
      </c>
      <c r="F57" s="29">
        <v>22680605</v>
      </c>
      <c r="G57" s="1" t="s">
        <v>226</v>
      </c>
      <c r="J57" s="3"/>
    </row>
    <row r="58" spans="1:10">
      <c r="A58" s="1" t="s">
        <v>227</v>
      </c>
      <c r="B58" s="1" t="s">
        <v>228</v>
      </c>
      <c r="C58" s="34">
        <v>5.1249999999999999E-5</v>
      </c>
      <c r="D58" s="3">
        <v>5.7000000000000002E-3</v>
      </c>
      <c r="E58" s="1" t="s">
        <v>229</v>
      </c>
      <c r="F58" s="29">
        <v>1414981</v>
      </c>
      <c r="G58" s="1" t="s">
        <v>230</v>
      </c>
      <c r="J58" s="3"/>
    </row>
    <row r="59" spans="1:10">
      <c r="A59" s="1" t="s">
        <v>231</v>
      </c>
      <c r="B59" s="1" t="s">
        <v>232</v>
      </c>
      <c r="C59" s="34">
        <v>2.875E-3</v>
      </c>
      <c r="D59" s="3">
        <v>4.4999999999999997E-3</v>
      </c>
      <c r="E59" s="1" t="s">
        <v>233</v>
      </c>
      <c r="F59" s="29">
        <v>3358220</v>
      </c>
      <c r="G59" s="1" t="s">
        <v>234</v>
      </c>
      <c r="J59" s="3"/>
    </row>
    <row r="60" spans="1:10">
      <c r="A60" s="1" t="s">
        <v>235</v>
      </c>
      <c r="B60" s="1" t="s">
        <v>236</v>
      </c>
      <c r="C60" s="34">
        <v>9.67</v>
      </c>
      <c r="D60" s="3">
        <v>1E-3</v>
      </c>
      <c r="E60" s="1" t="s">
        <v>237</v>
      </c>
      <c r="F60" s="29">
        <v>101491</v>
      </c>
      <c r="G60" s="1" t="s">
        <v>238</v>
      </c>
      <c r="J60" s="3"/>
    </row>
    <row r="61" spans="1:10">
      <c r="A61" s="1" t="s">
        <v>239</v>
      </c>
      <c r="B61" s="1" t="s">
        <v>240</v>
      </c>
      <c r="C61" s="34">
        <v>90.45</v>
      </c>
      <c r="D61" s="3">
        <v>2.8199999999999999E-2</v>
      </c>
      <c r="E61" s="1" t="s">
        <v>241</v>
      </c>
      <c r="F61" s="29">
        <v>21125</v>
      </c>
      <c r="G61" s="1" t="s">
        <v>242</v>
      </c>
      <c r="J61" s="3"/>
    </row>
    <row r="62" spans="1:10">
      <c r="A62" s="1" t="s">
        <v>243</v>
      </c>
      <c r="B62" s="1" t="s">
        <v>244</v>
      </c>
      <c r="C62" s="34">
        <v>0.30309999999999998</v>
      </c>
      <c r="D62" s="3">
        <v>1.7299999999999999E-2</v>
      </c>
      <c r="E62" s="1" t="s">
        <v>245</v>
      </c>
      <c r="F62" s="29">
        <v>17173</v>
      </c>
      <c r="G62" s="1" t="s">
        <v>246</v>
      </c>
      <c r="J62" s="3"/>
    </row>
    <row r="63" spans="1:10">
      <c r="A63" s="1" t="s">
        <v>247</v>
      </c>
      <c r="B63" s="1" t="s">
        <v>248</v>
      </c>
      <c r="C63" s="34">
        <v>1.26</v>
      </c>
      <c r="D63" s="3">
        <v>3.0999999999999999E-3</v>
      </c>
      <c r="E63" s="1" t="s">
        <v>249</v>
      </c>
      <c r="F63" s="29">
        <v>1913531</v>
      </c>
      <c r="G63" s="1" t="s">
        <v>250</v>
      </c>
      <c r="J63" s="3"/>
    </row>
    <row r="64" spans="1:10">
      <c r="A64" s="1" t="s">
        <v>251</v>
      </c>
      <c r="B64" s="1" t="s">
        <v>252</v>
      </c>
      <c r="C64" s="34">
        <v>0.53610000000000002</v>
      </c>
      <c r="D64" s="3">
        <v>4.8999999999999998E-3</v>
      </c>
      <c r="E64" s="1" t="s">
        <v>253</v>
      </c>
      <c r="F64" s="29">
        <v>5008504</v>
      </c>
      <c r="G64" s="1" t="s">
        <v>254</v>
      </c>
      <c r="J64" s="3"/>
    </row>
    <row r="65" spans="1:10">
      <c r="A65" s="1" t="s">
        <v>255</v>
      </c>
      <c r="B65" s="1" t="s">
        <v>256</v>
      </c>
      <c r="C65" s="34">
        <v>1.245E-3</v>
      </c>
      <c r="D65" s="3">
        <v>2.5000000000000001E-3</v>
      </c>
      <c r="E65" s="1" t="s">
        <v>257</v>
      </c>
      <c r="F65" s="29">
        <v>1669915</v>
      </c>
      <c r="G65" s="1" t="s">
        <v>258</v>
      </c>
      <c r="J65" s="3"/>
    </row>
    <row r="66" spans="1:10">
      <c r="A66" s="1" t="s">
        <v>259</v>
      </c>
      <c r="B66" s="1" t="s">
        <v>260</v>
      </c>
      <c r="C66" s="34">
        <v>1.4970000000000001E-2</v>
      </c>
      <c r="D66" s="3">
        <v>4.0000000000000002E-4</v>
      </c>
      <c r="E66" s="1" t="s">
        <v>261</v>
      </c>
      <c r="F66" s="29">
        <v>260802</v>
      </c>
      <c r="G66" s="1" t="s">
        <v>262</v>
      </c>
      <c r="J66" s="3"/>
    </row>
    <row r="67" spans="1:10">
      <c r="A67" s="1" t="s">
        <v>263</v>
      </c>
      <c r="B67" s="1" t="s">
        <v>264</v>
      </c>
      <c r="C67" s="34">
        <v>2.13</v>
      </c>
      <c r="D67" s="3">
        <v>5.0000000000000001E-4</v>
      </c>
      <c r="E67" s="1" t="s">
        <v>265</v>
      </c>
      <c r="F67" s="29">
        <v>867656</v>
      </c>
      <c r="G67" s="1" t="s">
        <v>266</v>
      </c>
      <c r="J67" s="3"/>
    </row>
    <row r="68" spans="1:10">
      <c r="A68" s="1" t="s">
        <v>267</v>
      </c>
      <c r="B68" s="1" t="s">
        <v>268</v>
      </c>
      <c r="C68" s="34">
        <v>2.5299999999999998</v>
      </c>
      <c r="D68" s="3">
        <v>4.4000000000000003E-3</v>
      </c>
      <c r="E68" s="1" t="s">
        <v>269</v>
      </c>
      <c r="F68" s="29">
        <v>2914375</v>
      </c>
      <c r="G68" s="1" t="s">
        <v>270</v>
      </c>
      <c r="J68" s="3"/>
    </row>
    <row r="69" spans="1:10">
      <c r="A69" s="1" t="s">
        <v>271</v>
      </c>
      <c r="B69" s="1" t="s">
        <v>272</v>
      </c>
      <c r="C69" s="34">
        <v>2.1000000000000001E-2</v>
      </c>
      <c r="D69" s="3">
        <v>8.0000000000000004E-4</v>
      </c>
      <c r="E69" s="1" t="s">
        <v>273</v>
      </c>
      <c r="F69" s="29">
        <v>252063</v>
      </c>
      <c r="G69" s="1" t="s">
        <v>274</v>
      </c>
      <c r="J69" s="3"/>
    </row>
    <row r="70" spans="1:10">
      <c r="A70" s="1" t="s">
        <v>275</v>
      </c>
      <c r="B70" s="1" t="s">
        <v>276</v>
      </c>
      <c r="C70" s="34">
        <v>0.2442</v>
      </c>
      <c r="D70" s="3">
        <v>3.2000000000000002E-3</v>
      </c>
      <c r="E70" s="1" t="s">
        <v>277</v>
      </c>
      <c r="F70" s="29">
        <v>3564164</v>
      </c>
      <c r="G70" s="1" t="s">
        <v>278</v>
      </c>
      <c r="J70" s="3"/>
    </row>
    <row r="71" spans="1:10">
      <c r="A71" s="1" t="s">
        <v>279</v>
      </c>
      <c r="B71" s="1" t="s">
        <v>280</v>
      </c>
      <c r="C71" s="34">
        <v>0.33879999999999999</v>
      </c>
      <c r="D71" s="3">
        <v>6.8999999999999999E-3</v>
      </c>
      <c r="E71" s="1" t="s">
        <v>281</v>
      </c>
      <c r="F71" s="29">
        <v>8693511</v>
      </c>
      <c r="G71" s="1" t="s">
        <v>282</v>
      </c>
      <c r="J71" s="3"/>
    </row>
    <row r="72" spans="1:10">
      <c r="A72" s="1" t="s">
        <v>283</v>
      </c>
      <c r="B72" s="1" t="s">
        <v>284</v>
      </c>
      <c r="C72" s="34">
        <v>0.29930000000000001</v>
      </c>
      <c r="D72" s="3">
        <v>1.5E-3</v>
      </c>
      <c r="E72" s="1" t="s">
        <v>285</v>
      </c>
      <c r="F72" s="29">
        <v>254347</v>
      </c>
      <c r="G72" s="1" t="s">
        <v>286</v>
      </c>
      <c r="J72" s="3"/>
    </row>
    <row r="73" spans="1:10">
      <c r="A73" s="1" t="s">
        <v>287</v>
      </c>
      <c r="B73" s="1" t="s">
        <v>288</v>
      </c>
      <c r="C73" s="34">
        <v>0.1401</v>
      </c>
      <c r="D73" s="3">
        <v>1.77E-2</v>
      </c>
      <c r="E73" s="1" t="s">
        <v>289</v>
      </c>
      <c r="F73" s="29">
        <v>2161326</v>
      </c>
      <c r="G73" s="1" t="s">
        <v>290</v>
      </c>
      <c r="J73" s="3"/>
    </row>
    <row r="74" spans="1:10">
      <c r="A74" s="1" t="s">
        <v>291</v>
      </c>
      <c r="B74" s="1" t="s">
        <v>292</v>
      </c>
      <c r="C74" s="34">
        <v>0.12790000000000001</v>
      </c>
      <c r="D74" s="3">
        <v>7.6E-3</v>
      </c>
      <c r="E74" s="1" t="s">
        <v>293</v>
      </c>
      <c r="F74" s="29">
        <v>33236555</v>
      </c>
      <c r="G74" s="1" t="s">
        <v>294</v>
      </c>
      <c r="J74" s="3"/>
    </row>
    <row r="75" spans="1:10">
      <c r="A75" s="1" t="s">
        <v>295</v>
      </c>
      <c r="B75" s="1" t="s">
        <v>296</v>
      </c>
      <c r="C75" s="34">
        <v>0.5232</v>
      </c>
      <c r="D75" s="3">
        <v>2.1899999999999999E-2</v>
      </c>
      <c r="E75" s="1" t="s">
        <v>297</v>
      </c>
      <c r="F75" s="29">
        <v>5485485</v>
      </c>
      <c r="G75" s="1" t="s">
        <v>298</v>
      </c>
      <c r="J75" s="3"/>
    </row>
    <row r="76" spans="1:10">
      <c r="A76" s="1" t="s">
        <v>299</v>
      </c>
      <c r="B76" s="1" t="s">
        <v>300</v>
      </c>
      <c r="C76" s="34">
        <v>3.9259999999999998E-3</v>
      </c>
      <c r="D76" s="3">
        <v>9.4000000000000004E-3</v>
      </c>
      <c r="E76" s="1" t="s">
        <v>301</v>
      </c>
      <c r="F76" s="29">
        <v>4157460</v>
      </c>
      <c r="G76" s="1" t="s">
        <v>302</v>
      </c>
      <c r="J76" s="3"/>
    </row>
    <row r="77" spans="1:10">
      <c r="A77" s="1" t="s">
        <v>303</v>
      </c>
      <c r="B77" s="1" t="s">
        <v>304</v>
      </c>
      <c r="C77" s="34">
        <v>5.6509999999999998E-2</v>
      </c>
      <c r="D77" s="3">
        <v>1.46E-2</v>
      </c>
      <c r="E77" s="1" t="s">
        <v>305</v>
      </c>
      <c r="F77" s="29">
        <v>3148017</v>
      </c>
      <c r="G77" s="1" t="s">
        <v>306</v>
      </c>
      <c r="J77" s="3"/>
    </row>
    <row r="78" spans="1:10">
      <c r="A78" s="1" t="s">
        <v>307</v>
      </c>
      <c r="B78" s="1" t="s">
        <v>308</v>
      </c>
      <c r="C78" s="34">
        <v>8.3759999999999998E-3</v>
      </c>
      <c r="D78" s="3">
        <v>4.2700000000000002E-2</v>
      </c>
      <c r="E78" s="1" t="s">
        <v>309</v>
      </c>
      <c r="F78" s="29">
        <v>40860347</v>
      </c>
      <c r="G78" s="1" t="s">
        <v>310</v>
      </c>
      <c r="J78" s="3"/>
    </row>
    <row r="79" spans="1:10">
      <c r="A79" s="1" t="s">
        <v>311</v>
      </c>
      <c r="B79" s="1" t="s">
        <v>312</v>
      </c>
      <c r="C79" s="34">
        <v>2.6540000000000001E-2</v>
      </c>
      <c r="D79" s="3">
        <v>3.3E-3</v>
      </c>
      <c r="E79" s="1" t="s">
        <v>313</v>
      </c>
      <c r="F79" s="29">
        <v>2231412</v>
      </c>
      <c r="G79" s="1" t="s">
        <v>314</v>
      </c>
      <c r="J79" s="3"/>
    </row>
    <row r="80" spans="1:10">
      <c r="A80" s="1" t="s">
        <v>315</v>
      </c>
      <c r="B80" s="1" t="s">
        <v>316</v>
      </c>
      <c r="C80" s="34">
        <v>0.18410000000000001</v>
      </c>
      <c r="D80" s="3">
        <v>1.8E-3</v>
      </c>
      <c r="E80" s="1" t="s">
        <v>317</v>
      </c>
      <c r="F80" s="29">
        <v>3675488</v>
      </c>
      <c r="G80" s="1" t="s">
        <v>318</v>
      </c>
      <c r="J80" s="3"/>
    </row>
    <row r="81" spans="1:10">
      <c r="A81" s="1" t="s">
        <v>319</v>
      </c>
      <c r="B81" s="1" t="s">
        <v>320</v>
      </c>
      <c r="C81" s="34">
        <v>2.085E-2</v>
      </c>
      <c r="D81" s="3">
        <v>1.26E-2</v>
      </c>
      <c r="E81" s="1" t="s">
        <v>321</v>
      </c>
      <c r="F81" s="29">
        <v>5290020</v>
      </c>
      <c r="G81" s="1" t="s">
        <v>322</v>
      </c>
      <c r="J81" s="3"/>
    </row>
    <row r="82" spans="1:10">
      <c r="A82" s="1" t="s">
        <v>323</v>
      </c>
      <c r="B82" s="1" t="s">
        <v>324</v>
      </c>
      <c r="C82" s="34">
        <v>2.2439999999999999E-3</v>
      </c>
      <c r="D82" s="3">
        <v>4.1999999999999997E-3</v>
      </c>
      <c r="E82" s="1" t="s">
        <v>325</v>
      </c>
      <c r="F82" s="29">
        <v>2554402</v>
      </c>
      <c r="G82" s="1" t="s">
        <v>326</v>
      </c>
      <c r="J82" s="3"/>
    </row>
    <row r="83" spans="1:10">
      <c r="A83" s="1" t="s">
        <v>327</v>
      </c>
      <c r="B83" s="1" t="s">
        <v>328</v>
      </c>
      <c r="C83" s="34">
        <v>2.0410000000000001E-2</v>
      </c>
      <c r="D83" s="3">
        <v>4.24E-2</v>
      </c>
      <c r="E83" s="1" t="s">
        <v>329</v>
      </c>
      <c r="F83" s="29">
        <v>174082</v>
      </c>
      <c r="G83" s="1" t="s">
        <v>330</v>
      </c>
      <c r="J83" s="3"/>
    </row>
    <row r="84" spans="1:10">
      <c r="A84" s="1" t="s">
        <v>331</v>
      </c>
      <c r="B84" s="1" t="s">
        <v>332</v>
      </c>
      <c r="C84" s="34">
        <v>1.2229999999999999E-3</v>
      </c>
      <c r="D84" s="3">
        <v>2.0000000000000001E-4</v>
      </c>
      <c r="E84" s="1" t="s">
        <v>333</v>
      </c>
      <c r="F84" s="29">
        <v>362962</v>
      </c>
      <c r="G84" s="1" t="s">
        <v>334</v>
      </c>
      <c r="J84" s="3"/>
    </row>
    <row r="85" spans="1:10">
      <c r="A85" s="1" t="s">
        <v>335</v>
      </c>
      <c r="B85" s="1" t="s">
        <v>336</v>
      </c>
      <c r="C85" s="34">
        <v>2.5230000000000001E-3</v>
      </c>
      <c r="D85" s="3">
        <v>1.24E-2</v>
      </c>
      <c r="E85" s="1" t="s">
        <v>337</v>
      </c>
      <c r="F85" s="29">
        <v>268389</v>
      </c>
      <c r="G85" s="1" t="s">
        <v>338</v>
      </c>
      <c r="J85" s="3"/>
    </row>
    <row r="86" spans="1:10">
      <c r="A86" s="1" t="s">
        <v>339</v>
      </c>
      <c r="B86" s="1" t="s">
        <v>340</v>
      </c>
      <c r="C86" s="34">
        <v>3.288E-2</v>
      </c>
      <c r="D86" s="3">
        <v>1E-4</v>
      </c>
      <c r="E86" s="1" t="s">
        <v>341</v>
      </c>
      <c r="F86" s="29">
        <v>999710</v>
      </c>
      <c r="G86" s="1" t="s">
        <v>342</v>
      </c>
      <c r="J86" s="3"/>
    </row>
    <row r="87" spans="1:10">
      <c r="A87" s="1" t="s">
        <v>343</v>
      </c>
      <c r="B87" s="1" t="s">
        <v>344</v>
      </c>
      <c r="C87" s="34">
        <v>2.8809999999999999E-2</v>
      </c>
      <c r="D87" s="3">
        <v>2.9999999999999997E-4</v>
      </c>
      <c r="E87" s="1" t="s">
        <v>345</v>
      </c>
      <c r="F87" s="29">
        <v>47</v>
      </c>
      <c r="G87" s="1" t="s">
        <v>346</v>
      </c>
      <c r="J87" s="3"/>
    </row>
    <row r="88" spans="1:10">
      <c r="A88" s="1" t="s">
        <v>347</v>
      </c>
      <c r="B88" s="1" t="s">
        <v>348</v>
      </c>
      <c r="C88" s="34">
        <v>5.1970000000000002E-2</v>
      </c>
      <c r="D88" s="3">
        <v>1.04E-2</v>
      </c>
      <c r="E88" s="1" t="s">
        <v>349</v>
      </c>
      <c r="F88" s="29">
        <v>2452497</v>
      </c>
      <c r="G88" s="1" t="s">
        <v>350</v>
      </c>
      <c r="J88" s="3"/>
    </row>
    <row r="89" spans="1:10">
      <c r="A89" s="1" t="s">
        <v>351</v>
      </c>
      <c r="B89" s="1" t="s">
        <v>352</v>
      </c>
      <c r="C89" s="34">
        <v>1.7489999999999999E-2</v>
      </c>
      <c r="D89" s="3">
        <v>5.4999999999999997E-3</v>
      </c>
      <c r="E89" s="1" t="s">
        <v>353</v>
      </c>
      <c r="F89" s="29">
        <v>45</v>
      </c>
      <c r="G89" s="1" t="s">
        <v>75</v>
      </c>
      <c r="J89" s="3"/>
    </row>
    <row r="90" spans="1:10">
      <c r="A90" s="1" t="s">
        <v>354</v>
      </c>
      <c r="B90" s="1" t="s">
        <v>355</v>
      </c>
      <c r="C90" s="34">
        <v>3.0099999999999998E-2</v>
      </c>
      <c r="D90" s="3">
        <v>1.5800000000000002E-2</v>
      </c>
      <c r="E90" s="1" t="s">
        <v>356</v>
      </c>
      <c r="F90" s="29">
        <v>2760725</v>
      </c>
      <c r="G90" s="1" t="s">
        <v>357</v>
      </c>
      <c r="J90" s="3"/>
    </row>
    <row r="91" spans="1:10">
      <c r="A91" s="1" t="s">
        <v>358</v>
      </c>
      <c r="B91" s="1" t="s">
        <v>359</v>
      </c>
      <c r="C91" s="34">
        <v>1.3899999999999999E-2</v>
      </c>
      <c r="D91" s="3">
        <v>5.4999999999999997E-3</v>
      </c>
      <c r="E91" s="1" t="s">
        <v>360</v>
      </c>
      <c r="F91" s="29">
        <v>7675089</v>
      </c>
      <c r="G91" s="1" t="s">
        <v>361</v>
      </c>
      <c r="J91" s="3"/>
    </row>
    <row r="92" spans="1:10">
      <c r="A92" s="1" t="s">
        <v>362</v>
      </c>
      <c r="B92" s="1" t="s">
        <v>363</v>
      </c>
      <c r="C92" s="34">
        <v>4.41E-2</v>
      </c>
      <c r="D92" s="3">
        <v>9.5999999999999992E-3</v>
      </c>
      <c r="E92" s="1" t="s">
        <v>364</v>
      </c>
      <c r="F92" s="29">
        <v>4797522</v>
      </c>
      <c r="G92" s="1" t="s">
        <v>365</v>
      </c>
      <c r="J92" s="3"/>
    </row>
    <row r="93" spans="1:10">
      <c r="A93" s="1" t="s">
        <v>366</v>
      </c>
      <c r="B93" s="1" t="s">
        <v>367</v>
      </c>
      <c r="C93" s="34">
        <v>1.8370000000000001E-2</v>
      </c>
      <c r="D93" s="3">
        <v>4.0000000000000001E-3</v>
      </c>
      <c r="E93" s="1" t="s">
        <v>368</v>
      </c>
      <c r="F93" s="29">
        <v>884405</v>
      </c>
      <c r="G93" s="1" t="s">
        <v>369</v>
      </c>
      <c r="J93" s="3"/>
    </row>
    <row r="94" spans="1:10">
      <c r="A94" s="1" t="s">
        <v>370</v>
      </c>
      <c r="B94" s="1" t="s">
        <v>371</v>
      </c>
      <c r="C94" s="34">
        <v>5.3610999999999999E-2</v>
      </c>
      <c r="D94" s="3">
        <v>2.0000000000000001E-4</v>
      </c>
      <c r="E94" s="1" t="s">
        <v>372</v>
      </c>
      <c r="F94" s="29">
        <v>191600</v>
      </c>
      <c r="G94" s="1" t="s">
        <v>373</v>
      </c>
      <c r="J94" s="3"/>
    </row>
    <row r="95" spans="1:10">
      <c r="A95" s="1" t="s">
        <v>374</v>
      </c>
      <c r="B95" s="1" t="s">
        <v>375</v>
      </c>
      <c r="C95" s="34">
        <v>7.1993000000000001E-2</v>
      </c>
      <c r="D95" s="3">
        <v>2.9999999999999997E-4</v>
      </c>
      <c r="E95" s="1" t="s">
        <v>376</v>
      </c>
      <c r="F95" s="29">
        <v>326498</v>
      </c>
      <c r="G95" s="1" t="s">
        <v>377</v>
      </c>
      <c r="J95" s="3"/>
    </row>
    <row r="96" spans="1:10">
      <c r="A96" s="1" t="s">
        <v>378</v>
      </c>
      <c r="B96" s="1" t="s">
        <v>379</v>
      </c>
      <c r="C96" s="34">
        <v>6.6669999999999993E-2</v>
      </c>
      <c r="D96" s="3">
        <v>1.1000000000000001E-3</v>
      </c>
      <c r="E96" s="1" t="s">
        <v>380</v>
      </c>
      <c r="F96" s="29">
        <v>3645223</v>
      </c>
      <c r="G96" s="1" t="s">
        <v>381</v>
      </c>
      <c r="J96" s="3"/>
    </row>
    <row r="97" spans="1:10">
      <c r="A97" s="1" t="s">
        <v>382</v>
      </c>
      <c r="B97" s="1" t="s">
        <v>383</v>
      </c>
      <c r="C97" s="34">
        <v>1.6</v>
      </c>
      <c r="D97" s="3">
        <v>1.8E-3</v>
      </c>
      <c r="E97" s="1" t="s">
        <v>384</v>
      </c>
      <c r="F97" s="29">
        <v>3216530</v>
      </c>
      <c r="G97" s="1" t="s">
        <v>385</v>
      </c>
      <c r="J97" s="3"/>
    </row>
    <row r="98" spans="1:10">
      <c r="A98" s="1" t="s">
        <v>386</v>
      </c>
      <c r="B98" s="1" t="s">
        <v>387</v>
      </c>
      <c r="C98" s="34">
        <v>108.17</v>
      </c>
      <c r="D98" s="3">
        <v>5.9999999999999995E-4</v>
      </c>
      <c r="E98" s="1" t="s">
        <v>388</v>
      </c>
      <c r="F98" s="29">
        <v>1639272</v>
      </c>
      <c r="G98" s="1" t="s">
        <v>389</v>
      </c>
      <c r="J98" s="3"/>
    </row>
    <row r="99" spans="1:10">
      <c r="A99" s="1" t="s">
        <v>390</v>
      </c>
      <c r="B99" s="1" t="s">
        <v>391</v>
      </c>
      <c r="C99" s="34">
        <v>7.5079999999999994E-2</v>
      </c>
      <c r="D99" s="3">
        <v>6.9999999999999999E-4</v>
      </c>
      <c r="E99" s="1" t="s">
        <v>388</v>
      </c>
      <c r="F99" s="29">
        <v>1739142</v>
      </c>
      <c r="G99" s="1" t="s">
        <v>392</v>
      </c>
      <c r="J99" s="3"/>
    </row>
    <row r="100" spans="1:10">
      <c r="A100" s="1" t="s">
        <v>393</v>
      </c>
      <c r="B100" s="1" t="s">
        <v>394</v>
      </c>
      <c r="C100" s="34">
        <v>2.934E-3</v>
      </c>
      <c r="D100" s="3">
        <v>7.3000000000000001E-3</v>
      </c>
      <c r="E100" s="1" t="s">
        <v>395</v>
      </c>
      <c r="F100" s="29">
        <v>2771456</v>
      </c>
      <c r="G100" s="1" t="s">
        <v>396</v>
      </c>
      <c r="J100" s="3"/>
    </row>
    <row r="101" spans="1:10">
      <c r="A101" s="1" t="s">
        <v>397</v>
      </c>
      <c r="B101" s="1" t="s">
        <v>398</v>
      </c>
      <c r="C101" s="34">
        <v>6.8440000000000001E-2</v>
      </c>
      <c r="D101" s="3">
        <v>2.5100000000000001E-2</v>
      </c>
      <c r="E101" s="1" t="s">
        <v>399</v>
      </c>
      <c r="F101" s="29">
        <v>128760</v>
      </c>
      <c r="G101" s="1" t="s">
        <v>400</v>
      </c>
      <c r="J101" s="3"/>
    </row>
    <row r="102" spans="1:10">
      <c r="A102" s="1" t="s">
        <v>401</v>
      </c>
      <c r="B102" s="1" t="s">
        <v>402</v>
      </c>
      <c r="C102" s="34">
        <v>0.3211</v>
      </c>
      <c r="D102" s="3">
        <v>3.0999999999999999E-3</v>
      </c>
      <c r="E102" s="1" t="s">
        <v>403</v>
      </c>
      <c r="F102" s="29">
        <v>654812</v>
      </c>
      <c r="G102" s="1" t="s">
        <v>404</v>
      </c>
      <c r="J102" s="3"/>
    </row>
    <row r="103" spans="1:10">
      <c r="A103" s="1" t="s">
        <v>405</v>
      </c>
      <c r="B103" s="1" t="s">
        <v>406</v>
      </c>
      <c r="C103" s="34">
        <v>0.18229999999999999</v>
      </c>
      <c r="D103" s="3">
        <v>1E-4</v>
      </c>
      <c r="E103" s="1" t="s">
        <v>407</v>
      </c>
      <c r="F103" s="29">
        <v>3185</v>
      </c>
      <c r="G103" s="1" t="s">
        <v>408</v>
      </c>
      <c r="J103" s="3"/>
    </row>
    <row r="104" spans="1:10">
      <c r="A104" s="1" t="s">
        <v>409</v>
      </c>
      <c r="B104" s="1" t="s">
        <v>410</v>
      </c>
      <c r="C104" s="34">
        <v>4.9510000000000005E-4</v>
      </c>
      <c r="D104" s="3">
        <v>4.0500000000000001E-2</v>
      </c>
      <c r="E104" s="1" t="s">
        <v>407</v>
      </c>
      <c r="F104" s="29">
        <v>4772</v>
      </c>
      <c r="G104" s="1" t="s">
        <v>411</v>
      </c>
      <c r="J104" s="3"/>
    </row>
    <row r="105" spans="1:10">
      <c r="A105" s="1" t="s">
        <v>412</v>
      </c>
      <c r="B105" s="1" t="s">
        <v>413</v>
      </c>
      <c r="C105" s="34">
        <v>7.8300000000000002E-3</v>
      </c>
      <c r="D105" s="3">
        <v>5.1000000000000004E-3</v>
      </c>
      <c r="E105" s="1" t="s">
        <v>403</v>
      </c>
      <c r="F105" s="29">
        <v>680959</v>
      </c>
      <c r="G105" s="1" t="s">
        <v>414</v>
      </c>
      <c r="J105" s="3"/>
    </row>
    <row r="106" spans="1:10">
      <c r="A106" s="1" t="s">
        <v>415</v>
      </c>
      <c r="B106" s="1" t="s">
        <v>416</v>
      </c>
      <c r="C106" s="34">
        <v>5.5989999999999998E-2</v>
      </c>
      <c r="D106" s="3">
        <v>2.9999999999999997E-4</v>
      </c>
      <c r="E106" s="1" t="s">
        <v>403</v>
      </c>
      <c r="F106" s="29">
        <v>2332177</v>
      </c>
      <c r="G106" s="1" t="s">
        <v>417</v>
      </c>
      <c r="J106" s="3"/>
    </row>
    <row r="107" spans="1:10">
      <c r="A107" s="1" t="s">
        <v>418</v>
      </c>
      <c r="B107" s="1" t="s">
        <v>419</v>
      </c>
      <c r="C107" s="34">
        <v>1.193E-2</v>
      </c>
      <c r="D107" s="3">
        <v>5.0000000000000001E-4</v>
      </c>
      <c r="E107" s="1" t="s">
        <v>420</v>
      </c>
      <c r="F107" s="29">
        <v>2707699</v>
      </c>
      <c r="G107" s="1" t="s">
        <v>421</v>
      </c>
      <c r="J107" s="3"/>
    </row>
    <row r="108" spans="1:10">
      <c r="A108" s="1" t="s">
        <v>422</v>
      </c>
      <c r="B108" s="1" t="s">
        <v>423</v>
      </c>
      <c r="C108" s="34">
        <v>0.42120000000000002</v>
      </c>
      <c r="D108" s="3">
        <v>2.2000000000000001E-3</v>
      </c>
      <c r="E108" s="1" t="s">
        <v>424</v>
      </c>
      <c r="F108" s="29">
        <v>708276</v>
      </c>
      <c r="G108" s="1" t="s">
        <v>425</v>
      </c>
      <c r="J108" s="3"/>
    </row>
    <row r="109" spans="1:10">
      <c r="A109" s="1" t="s">
        <v>426</v>
      </c>
      <c r="B109" s="1" t="s">
        <v>427</v>
      </c>
      <c r="C109" s="34">
        <v>2.198E-2</v>
      </c>
      <c r="D109" s="3">
        <v>1.41E-2</v>
      </c>
      <c r="E109" s="1" t="s">
        <v>428</v>
      </c>
      <c r="F109" s="29">
        <v>1407422</v>
      </c>
      <c r="G109" s="1" t="s">
        <v>429</v>
      </c>
      <c r="J109" s="3"/>
    </row>
    <row r="110" spans="1:10">
      <c r="A110" s="1" t="s">
        <v>430</v>
      </c>
      <c r="B110" s="1" t="s">
        <v>431</v>
      </c>
      <c r="C110" s="34">
        <v>1.163E-2</v>
      </c>
      <c r="D110" s="3">
        <v>4.1999999999999997E-3</v>
      </c>
      <c r="E110" s="1" t="s">
        <v>432</v>
      </c>
      <c r="F110" s="29">
        <v>1737116</v>
      </c>
      <c r="G110" s="1" t="s">
        <v>433</v>
      </c>
      <c r="J110" s="3"/>
    </row>
    <row r="111" spans="1:10">
      <c r="A111" s="1" t="s">
        <v>434</v>
      </c>
      <c r="B111" s="1" t="s">
        <v>435</v>
      </c>
      <c r="C111" s="34">
        <v>146.91999999999999</v>
      </c>
      <c r="D111" s="3">
        <v>1.6000000000000001E-3</v>
      </c>
      <c r="E111" s="1" t="s">
        <v>436</v>
      </c>
      <c r="F111" s="29">
        <v>525209</v>
      </c>
      <c r="G111" s="1" t="s">
        <v>437</v>
      </c>
      <c r="J111" s="3"/>
    </row>
    <row r="112" spans="1:10">
      <c r="A112" s="1" t="s">
        <v>438</v>
      </c>
      <c r="B112" s="1" t="s">
        <v>439</v>
      </c>
      <c r="C112" s="34">
        <v>1.392E-4</v>
      </c>
      <c r="D112" s="3">
        <v>2.5000000000000001E-3</v>
      </c>
      <c r="E112" s="1" t="s">
        <v>440</v>
      </c>
      <c r="F112" s="29">
        <v>202163</v>
      </c>
      <c r="G112" s="1" t="s">
        <v>441</v>
      </c>
      <c r="J112" s="3"/>
    </row>
    <row r="113" spans="1:10">
      <c r="A113" s="1" t="s">
        <v>442</v>
      </c>
      <c r="B113" s="1" t="s">
        <v>443</v>
      </c>
      <c r="C113" s="34">
        <v>0.1065</v>
      </c>
      <c r="D113" s="3">
        <v>0</v>
      </c>
      <c r="E113" s="1" t="s">
        <v>444</v>
      </c>
      <c r="F113" s="1" t="s">
        <v>445</v>
      </c>
      <c r="G113" s="1" t="s">
        <v>446</v>
      </c>
      <c r="J113" s="3"/>
    </row>
    <row r="114" spans="1:10">
      <c r="A114" s="1" t="s">
        <v>447</v>
      </c>
      <c r="B114" s="1" t="s">
        <v>448</v>
      </c>
      <c r="C114" s="34">
        <v>1.8810000000000001E-3</v>
      </c>
      <c r="D114" s="3">
        <v>1.1999999999999999E-3</v>
      </c>
      <c r="E114" s="1" t="s">
        <v>449</v>
      </c>
      <c r="F114" s="29">
        <v>7687892</v>
      </c>
      <c r="G114" s="1" t="s">
        <v>450</v>
      </c>
      <c r="J114" s="3"/>
    </row>
    <row r="115" spans="1:10">
      <c r="A115" s="1" t="s">
        <v>451</v>
      </c>
      <c r="B115" s="1" t="s">
        <v>452</v>
      </c>
      <c r="C115" s="34">
        <v>9.0589999999999993E-3</v>
      </c>
      <c r="D115" s="3">
        <v>8.8000000000000005E-3</v>
      </c>
      <c r="E115" s="1" t="s">
        <v>444</v>
      </c>
      <c r="F115" s="29">
        <v>75137</v>
      </c>
      <c r="G115" s="1" t="s">
        <v>453</v>
      </c>
      <c r="J115" s="3"/>
    </row>
    <row r="116" spans="1:10">
      <c r="A116" s="1" t="s">
        <v>454</v>
      </c>
      <c r="B116" s="1" t="s">
        <v>37</v>
      </c>
      <c r="C116" s="34">
        <v>9.443E-3</v>
      </c>
      <c r="D116" s="3">
        <v>1.3899999999999999E-2</v>
      </c>
      <c r="E116" s="1" t="s">
        <v>455</v>
      </c>
      <c r="F116" s="29">
        <v>1315522</v>
      </c>
      <c r="G116" s="1" t="s">
        <v>456</v>
      </c>
      <c r="J116" s="3"/>
    </row>
    <row r="117" spans="1:10">
      <c r="A117" s="1" t="s">
        <v>457</v>
      </c>
      <c r="B117" s="1" t="s">
        <v>458</v>
      </c>
      <c r="C117" s="34">
        <v>9.0810000000000005E-3</v>
      </c>
      <c r="D117" s="3">
        <v>1.26E-2</v>
      </c>
      <c r="E117" s="1" t="s">
        <v>459</v>
      </c>
      <c r="F117" s="29">
        <v>8504736</v>
      </c>
      <c r="G117" s="1" t="s">
        <v>460</v>
      </c>
      <c r="J117" s="3"/>
    </row>
    <row r="118" spans="1:10">
      <c r="A118" s="1" t="s">
        <v>461</v>
      </c>
      <c r="B118" s="1" t="s">
        <v>462</v>
      </c>
      <c r="C118" s="34">
        <v>9.4009999999999996E-3</v>
      </c>
      <c r="D118" s="3">
        <v>1.7999999999999999E-2</v>
      </c>
      <c r="E118" s="1" t="s">
        <v>463</v>
      </c>
      <c r="F118" s="29">
        <v>232710</v>
      </c>
      <c r="G118" s="1" t="s">
        <v>464</v>
      </c>
      <c r="J118" s="3"/>
    </row>
    <row r="119" spans="1:10">
      <c r="A119" s="1" t="s">
        <v>465</v>
      </c>
      <c r="B119" s="1" t="s">
        <v>466</v>
      </c>
      <c r="C119" s="34">
        <v>1.413E-2</v>
      </c>
      <c r="D119" s="3">
        <v>4.4999999999999997E-3</v>
      </c>
      <c r="E119" s="1" t="s">
        <v>459</v>
      </c>
      <c r="F119" s="29">
        <v>351905</v>
      </c>
      <c r="G119" s="1" t="s">
        <v>467</v>
      </c>
      <c r="J119" s="3"/>
    </row>
    <row r="120" spans="1:10">
      <c r="A120" s="1" t="s">
        <v>468</v>
      </c>
      <c r="B120" s="1" t="s">
        <v>469</v>
      </c>
      <c r="C120" s="34">
        <v>1.661E-2</v>
      </c>
      <c r="D120" s="3">
        <v>2.18E-2</v>
      </c>
      <c r="E120" s="1" t="s">
        <v>470</v>
      </c>
      <c r="F120" s="29">
        <v>1959456</v>
      </c>
      <c r="G120" s="1" t="s">
        <v>471</v>
      </c>
      <c r="J120" s="3"/>
    </row>
    <row r="121" spans="1:10">
      <c r="A121" s="1" t="s">
        <v>472</v>
      </c>
      <c r="B121" s="1" t="s">
        <v>473</v>
      </c>
      <c r="C121" s="34">
        <v>9.2256000000000005E-2</v>
      </c>
      <c r="D121" s="3">
        <v>1.4200000000000001E-2</v>
      </c>
      <c r="E121" s="1" t="s">
        <v>470</v>
      </c>
      <c r="F121" s="29">
        <v>196385</v>
      </c>
      <c r="G121" s="1" t="s">
        <v>474</v>
      </c>
      <c r="J121" s="3"/>
    </row>
    <row r="122" spans="1:10">
      <c r="A122" s="1" t="s">
        <v>475</v>
      </c>
      <c r="B122" s="1" t="s">
        <v>476</v>
      </c>
      <c r="C122" s="34">
        <v>1.69</v>
      </c>
      <c r="D122" s="3">
        <v>4.4999999999999997E-3</v>
      </c>
      <c r="E122" s="1" t="s">
        <v>477</v>
      </c>
      <c r="F122" s="1" t="s">
        <v>445</v>
      </c>
      <c r="G122" s="1" t="s">
        <v>478</v>
      </c>
      <c r="J122" s="3"/>
    </row>
    <row r="123" spans="1:10">
      <c r="A123" s="1" t="s">
        <v>479</v>
      </c>
      <c r="B123" s="1" t="s">
        <v>479</v>
      </c>
      <c r="C123" s="34">
        <v>3.4939999999999999E-2</v>
      </c>
      <c r="D123" s="3">
        <v>1.09E-2</v>
      </c>
      <c r="E123" s="1" t="s">
        <v>477</v>
      </c>
      <c r="F123" s="29">
        <v>3410421</v>
      </c>
      <c r="G123" s="1" t="s">
        <v>480</v>
      </c>
      <c r="J123" s="3"/>
    </row>
    <row r="124" spans="1:10">
      <c r="A124" s="1" t="s">
        <v>481</v>
      </c>
      <c r="B124" s="1" t="s">
        <v>482</v>
      </c>
      <c r="C124" s="34">
        <v>4.7939999999999997E-3</v>
      </c>
      <c r="D124" s="3">
        <v>2.5000000000000001E-3</v>
      </c>
      <c r="E124" s="1" t="s">
        <v>483</v>
      </c>
      <c r="F124" s="29">
        <v>191443</v>
      </c>
      <c r="G124" s="1" t="s">
        <v>484</v>
      </c>
      <c r="J124" s="3"/>
    </row>
    <row r="125" spans="1:10">
      <c r="A125" s="1" t="s">
        <v>485</v>
      </c>
      <c r="B125" s="1" t="s">
        <v>486</v>
      </c>
      <c r="C125" s="34">
        <v>1.839E-2</v>
      </c>
      <c r="D125" s="3">
        <v>5.3E-3</v>
      </c>
      <c r="E125" s="1" t="s">
        <v>487</v>
      </c>
      <c r="F125" s="29">
        <v>166190</v>
      </c>
      <c r="G125" s="1" t="s">
        <v>488</v>
      </c>
      <c r="J125" s="3"/>
    </row>
    <row r="126" spans="1:10">
      <c r="A126" s="1" t="s">
        <v>489</v>
      </c>
      <c r="B126" s="1" t="s">
        <v>490</v>
      </c>
      <c r="C126" s="34">
        <v>3.6720000000000003E-2</v>
      </c>
      <c r="D126" s="3">
        <v>4.0000000000000001E-3</v>
      </c>
      <c r="E126" s="1" t="s">
        <v>483</v>
      </c>
      <c r="F126" s="29">
        <v>43739</v>
      </c>
      <c r="G126" s="1" t="s">
        <v>491</v>
      </c>
      <c r="J126" s="3"/>
    </row>
    <row r="127" spans="1:10">
      <c r="A127" s="1" t="s">
        <v>492</v>
      </c>
      <c r="B127" s="1" t="s">
        <v>493</v>
      </c>
      <c r="C127" s="34">
        <v>7.7879999999999998E-3</v>
      </c>
      <c r="D127" s="3">
        <v>1.4200000000000001E-2</v>
      </c>
      <c r="E127" s="1" t="s">
        <v>483</v>
      </c>
      <c r="F127" s="29">
        <v>2191863</v>
      </c>
      <c r="G127" s="1" t="s">
        <v>494</v>
      </c>
      <c r="J127" s="3"/>
    </row>
    <row r="128" spans="1:10">
      <c r="A128" s="1" t="s">
        <v>495</v>
      </c>
      <c r="B128" s="1" t="s">
        <v>496</v>
      </c>
      <c r="C128" s="34">
        <v>1.508E-2</v>
      </c>
      <c r="D128" s="3">
        <v>7.0000000000000001E-3</v>
      </c>
      <c r="E128" s="1" t="s">
        <v>497</v>
      </c>
      <c r="F128" s="29">
        <v>495661</v>
      </c>
      <c r="G128" s="1" t="s">
        <v>498</v>
      </c>
      <c r="J128" s="3"/>
    </row>
    <row r="129" spans="1:10">
      <c r="A129" s="1" t="s">
        <v>499</v>
      </c>
      <c r="B129" s="1" t="s">
        <v>500</v>
      </c>
      <c r="C129" s="34">
        <v>2.5340000000000001E-2</v>
      </c>
      <c r="D129" s="3">
        <v>0</v>
      </c>
      <c r="E129" s="1" t="s">
        <v>501</v>
      </c>
      <c r="F129" s="1" t="s">
        <v>445</v>
      </c>
      <c r="G129" s="1" t="s">
        <v>502</v>
      </c>
      <c r="J129" s="3"/>
    </row>
    <row r="130" spans="1:10">
      <c r="A130" s="1" t="s">
        <v>503</v>
      </c>
      <c r="B130" s="1" t="s">
        <v>504</v>
      </c>
      <c r="C130" s="34">
        <v>0.33090000000000003</v>
      </c>
      <c r="D130" s="3">
        <v>1.5E-3</v>
      </c>
      <c r="E130" s="1" t="s">
        <v>505</v>
      </c>
      <c r="F130" s="29">
        <v>721629</v>
      </c>
      <c r="G130" s="1" t="s">
        <v>506</v>
      </c>
      <c r="J130" s="3"/>
    </row>
    <row r="131" spans="1:10">
      <c r="A131" s="1" t="s">
        <v>507</v>
      </c>
      <c r="B131" s="1" t="s">
        <v>508</v>
      </c>
      <c r="C131" s="34">
        <v>3.9579999999999997E-2</v>
      </c>
      <c r="D131" s="3">
        <v>1.9699999999999999E-2</v>
      </c>
      <c r="E131" s="1" t="s">
        <v>509</v>
      </c>
      <c r="F131" s="29">
        <v>2431321</v>
      </c>
      <c r="G131" s="1" t="s">
        <v>510</v>
      </c>
      <c r="J131" s="3"/>
    </row>
    <row r="132" spans="1:10">
      <c r="A132" s="1" t="s">
        <v>511</v>
      </c>
      <c r="B132" s="1" t="s">
        <v>512</v>
      </c>
      <c r="C132" s="34">
        <v>5.5209999999999999E-3</v>
      </c>
      <c r="D132" s="3">
        <v>1.26E-2</v>
      </c>
      <c r="E132" s="1" t="s">
        <v>513</v>
      </c>
      <c r="F132" s="29">
        <v>973654</v>
      </c>
      <c r="G132" s="1" t="s">
        <v>514</v>
      </c>
      <c r="J132" s="3"/>
    </row>
    <row r="133" spans="1:10">
      <c r="A133" s="1" t="s">
        <v>515</v>
      </c>
      <c r="B133" s="1" t="s">
        <v>516</v>
      </c>
      <c r="C133" s="34">
        <v>9.0029999999999999E-2</v>
      </c>
      <c r="D133" s="3">
        <v>2.2000000000000001E-3</v>
      </c>
      <c r="E133" s="1" t="s">
        <v>517</v>
      </c>
      <c r="F133" s="29">
        <v>955799</v>
      </c>
      <c r="G133" s="1" t="s">
        <v>518</v>
      </c>
      <c r="J133" s="3"/>
    </row>
    <row r="134" spans="1:10">
      <c r="A134" s="1" t="s">
        <v>519</v>
      </c>
      <c r="B134" s="1" t="s">
        <v>520</v>
      </c>
      <c r="C134" s="34">
        <v>5.4479999999999997E-3</v>
      </c>
      <c r="D134" s="3">
        <v>0</v>
      </c>
      <c r="E134" s="1" t="s">
        <v>521</v>
      </c>
      <c r="F134" s="29">
        <v>1056108</v>
      </c>
      <c r="G134" s="1" t="s">
        <v>522</v>
      </c>
      <c r="J134" s="3"/>
    </row>
    <row r="135" spans="1:10">
      <c r="A135" s="1" t="s">
        <v>523</v>
      </c>
      <c r="B135" s="1" t="s">
        <v>524</v>
      </c>
      <c r="C135" s="34">
        <v>2.954E-2</v>
      </c>
      <c r="D135" s="3">
        <v>2.2000000000000001E-3</v>
      </c>
      <c r="E135" s="1" t="s">
        <v>525</v>
      </c>
      <c r="F135" s="29">
        <v>153889</v>
      </c>
      <c r="G135" s="1" t="s">
        <v>526</v>
      </c>
      <c r="J135" s="3"/>
    </row>
    <row r="136" spans="1:10">
      <c r="A136" s="1" t="s">
        <v>527</v>
      </c>
      <c r="B136" s="1" t="s">
        <v>528</v>
      </c>
      <c r="C136" s="34">
        <v>2.2859999999999998E-3</v>
      </c>
      <c r="D136" s="3">
        <v>3.5000000000000001E-3</v>
      </c>
      <c r="E136" s="1" t="s">
        <v>529</v>
      </c>
      <c r="F136" s="29">
        <v>130770</v>
      </c>
      <c r="G136" s="1" t="s">
        <v>530</v>
      </c>
      <c r="J136" s="3"/>
    </row>
    <row r="137" spans="1:10">
      <c r="A137" s="1" t="s">
        <v>531</v>
      </c>
      <c r="B137" s="1" t="s">
        <v>532</v>
      </c>
      <c r="C137" s="34">
        <v>1.011E-3</v>
      </c>
      <c r="D137" s="3">
        <v>2E-3</v>
      </c>
      <c r="E137" s="1" t="s">
        <v>533</v>
      </c>
      <c r="F137" s="29">
        <v>432080</v>
      </c>
      <c r="G137" s="1" t="s">
        <v>534</v>
      </c>
      <c r="J137" s="3"/>
    </row>
    <row r="138" spans="1:10">
      <c r="A138" s="1" t="s">
        <v>535</v>
      </c>
      <c r="B138" s="1" t="s">
        <v>536</v>
      </c>
      <c r="C138" s="34">
        <v>0.53059999999999996</v>
      </c>
      <c r="D138" s="3">
        <v>5.9999999999999995E-4</v>
      </c>
      <c r="E138" s="1" t="s">
        <v>533</v>
      </c>
      <c r="F138" s="29">
        <v>697351</v>
      </c>
      <c r="G138" s="1" t="s">
        <v>537</v>
      </c>
      <c r="J138" s="3"/>
    </row>
    <row r="139" spans="1:10">
      <c r="A139" s="1" t="s">
        <v>538</v>
      </c>
      <c r="B139" s="1" t="s">
        <v>539</v>
      </c>
      <c r="C139" s="34">
        <v>5.1869999999999998E-3</v>
      </c>
      <c r="D139" s="3">
        <v>3.7000000000000002E-3</v>
      </c>
      <c r="E139" s="1" t="s">
        <v>540</v>
      </c>
      <c r="F139" s="29">
        <v>17403</v>
      </c>
      <c r="G139" s="1" t="s">
        <v>541</v>
      </c>
      <c r="J139" s="3"/>
    </row>
    <row r="140" spans="1:10">
      <c r="A140" s="1" t="s">
        <v>542</v>
      </c>
      <c r="B140" s="1" t="s">
        <v>543</v>
      </c>
      <c r="C140" s="34">
        <v>1.885E-3</v>
      </c>
      <c r="D140" s="3">
        <v>1E-4</v>
      </c>
      <c r="E140" s="1" t="s">
        <v>540</v>
      </c>
      <c r="F140" s="29">
        <v>392111</v>
      </c>
      <c r="G140" s="1" t="s">
        <v>544</v>
      </c>
      <c r="J140" s="3"/>
    </row>
    <row r="141" spans="1:10">
      <c r="A141" s="1" t="s">
        <v>545</v>
      </c>
      <c r="B141" s="1" t="s">
        <v>546</v>
      </c>
      <c r="C141" s="34">
        <v>4.9799999999999997E-2</v>
      </c>
      <c r="D141" s="3">
        <v>6.1999999999999998E-3</v>
      </c>
      <c r="E141" s="1" t="s">
        <v>547</v>
      </c>
      <c r="F141" s="29">
        <v>75107</v>
      </c>
      <c r="G141" s="1" t="s">
        <v>548</v>
      </c>
      <c r="J141" s="3"/>
    </row>
    <row r="142" spans="1:10">
      <c r="A142" s="1" t="s">
        <v>549</v>
      </c>
      <c r="B142" s="1" t="s">
        <v>550</v>
      </c>
      <c r="C142" s="34">
        <v>2.2479999999999999E-4</v>
      </c>
      <c r="D142" s="3">
        <v>1.5E-3</v>
      </c>
      <c r="E142" s="1" t="s">
        <v>551</v>
      </c>
      <c r="F142" s="29">
        <v>193524</v>
      </c>
      <c r="G142" s="1" t="s">
        <v>552</v>
      </c>
      <c r="J142" s="3"/>
    </row>
    <row r="143" spans="1:10">
      <c r="A143" s="1" t="s">
        <v>553</v>
      </c>
      <c r="B143" s="1" t="s">
        <v>554</v>
      </c>
      <c r="C143" s="34">
        <v>5.1470000000000002E-2</v>
      </c>
      <c r="D143" s="3">
        <v>4.6399999999999997E-2</v>
      </c>
      <c r="E143" s="1" t="s">
        <v>555</v>
      </c>
      <c r="F143" s="29">
        <v>168650</v>
      </c>
      <c r="G143" s="1" t="s">
        <v>556</v>
      </c>
      <c r="J143" s="3"/>
    </row>
    <row r="144" spans="1:10">
      <c r="A144" s="1" t="s">
        <v>557</v>
      </c>
      <c r="B144" s="1" t="s">
        <v>558</v>
      </c>
      <c r="C144" s="34">
        <v>1.908E-2</v>
      </c>
      <c r="D144" s="3">
        <v>5.7000000000000002E-3</v>
      </c>
      <c r="E144" s="1" t="s">
        <v>559</v>
      </c>
      <c r="F144" s="29">
        <v>4760489</v>
      </c>
      <c r="G144" s="1" t="s">
        <v>560</v>
      </c>
      <c r="J144" s="3"/>
    </row>
    <row r="145" spans="1:10">
      <c r="A145" s="1" t="s">
        <v>561</v>
      </c>
      <c r="B145" s="1" t="s">
        <v>562</v>
      </c>
      <c r="C145" s="34">
        <v>1.9529999999999999E-2</v>
      </c>
      <c r="D145" s="3">
        <v>2.9999999999999997E-4</v>
      </c>
      <c r="E145" s="1" t="s">
        <v>563</v>
      </c>
      <c r="F145" s="29">
        <v>4951893</v>
      </c>
      <c r="G145" s="1" t="s">
        <v>564</v>
      </c>
      <c r="J145" s="3"/>
    </row>
    <row r="146" spans="1:10">
      <c r="A146" s="1" t="s">
        <v>565</v>
      </c>
      <c r="B146" s="1" t="s">
        <v>565</v>
      </c>
      <c r="C146" s="34">
        <v>5.3982000000000002E-2</v>
      </c>
      <c r="D146" s="3">
        <v>1.04E-2</v>
      </c>
      <c r="E146" s="1" t="s">
        <v>566</v>
      </c>
      <c r="F146" s="29">
        <v>727913</v>
      </c>
      <c r="G146" s="1" t="s">
        <v>567</v>
      </c>
      <c r="J146" s="3"/>
    </row>
    <row r="147" spans="1:10">
      <c r="A147" s="1" t="s">
        <v>568</v>
      </c>
      <c r="B147" s="1" t="s">
        <v>569</v>
      </c>
      <c r="C147" s="34">
        <v>2.34</v>
      </c>
      <c r="D147" s="3">
        <v>1.1999999999999999E-3</v>
      </c>
      <c r="E147" s="1" t="s">
        <v>570</v>
      </c>
      <c r="F147" s="29">
        <v>49144</v>
      </c>
      <c r="G147" s="1" t="s">
        <v>571</v>
      </c>
      <c r="J147" s="3"/>
    </row>
    <row r="148" spans="1:10">
      <c r="A148" s="1" t="s">
        <v>572</v>
      </c>
      <c r="B148" s="1" t="s">
        <v>573</v>
      </c>
      <c r="C148" s="34">
        <v>3.3210000000000003E-2</v>
      </c>
      <c r="D148" s="3">
        <v>8.9999999999999993E-3</v>
      </c>
      <c r="E148" s="1" t="s">
        <v>574</v>
      </c>
      <c r="F148" s="29">
        <v>14376</v>
      </c>
      <c r="G148" s="1" t="s">
        <v>575</v>
      </c>
      <c r="J148" s="3"/>
    </row>
    <row r="149" spans="1:10">
      <c r="A149" s="1" t="s">
        <v>576</v>
      </c>
      <c r="B149" s="1" t="s">
        <v>577</v>
      </c>
      <c r="C149" s="34">
        <v>2.1639999999999999E-5</v>
      </c>
      <c r="D149" s="3">
        <v>1E-3</v>
      </c>
      <c r="E149" s="1" t="s">
        <v>566</v>
      </c>
      <c r="F149" s="29">
        <v>658</v>
      </c>
      <c r="G149" s="1" t="s">
        <v>578</v>
      </c>
      <c r="J149" s="3"/>
    </row>
    <row r="150" spans="1:10">
      <c r="A150" s="1" t="s">
        <v>579</v>
      </c>
      <c r="B150" s="1" t="s">
        <v>580</v>
      </c>
      <c r="C150" s="34">
        <v>8.2830000000000001E-2</v>
      </c>
      <c r="D150" s="3">
        <v>1.72E-2</v>
      </c>
      <c r="E150" s="1" t="s">
        <v>581</v>
      </c>
      <c r="F150" s="29">
        <v>5822</v>
      </c>
      <c r="G150" s="1" t="s">
        <v>582</v>
      </c>
      <c r="J150" s="3"/>
    </row>
    <row r="151" spans="1:10">
      <c r="A151" s="1" t="s">
        <v>583</v>
      </c>
      <c r="B151" s="1" t="s">
        <v>583</v>
      </c>
      <c r="C151" s="34">
        <v>0.53049999999999997</v>
      </c>
      <c r="D151" s="3">
        <v>6.7999999999999996E-3</v>
      </c>
      <c r="E151" s="1" t="s">
        <v>584</v>
      </c>
      <c r="F151" s="29">
        <v>85411</v>
      </c>
      <c r="G151" s="1" t="s">
        <v>585</v>
      </c>
      <c r="J151" s="3"/>
    </row>
    <row r="152" spans="1:10">
      <c r="A152" s="1" t="s">
        <v>586</v>
      </c>
      <c r="B152" s="1" t="s">
        <v>587</v>
      </c>
      <c r="C152" s="34">
        <v>8.4449999999999994E-3</v>
      </c>
      <c r="D152" s="3">
        <v>2.0000000000000001E-4</v>
      </c>
      <c r="E152" s="1" t="s">
        <v>588</v>
      </c>
      <c r="F152" s="29">
        <v>2100</v>
      </c>
      <c r="G152" s="1" t="s">
        <v>589</v>
      </c>
      <c r="J152" s="3"/>
    </row>
    <row r="153" spans="1:10">
      <c r="A153" s="1" t="s">
        <v>590</v>
      </c>
      <c r="B153" s="1" t="s">
        <v>591</v>
      </c>
      <c r="C153" s="34">
        <v>2.8370000000000001E-5</v>
      </c>
      <c r="D153" s="3">
        <v>3.7000000000000002E-3</v>
      </c>
      <c r="E153" s="1" t="s">
        <v>588</v>
      </c>
      <c r="F153" s="29">
        <v>157680</v>
      </c>
      <c r="G153" s="1" t="s">
        <v>592</v>
      </c>
      <c r="J153" s="3"/>
    </row>
    <row r="154" spans="1:10">
      <c r="A154" s="1" t="s">
        <v>593</v>
      </c>
      <c r="B154" s="1" t="s">
        <v>594</v>
      </c>
      <c r="C154" s="34">
        <v>8.03E-4</v>
      </c>
      <c r="D154" s="3">
        <v>2.0000000000000001E-4</v>
      </c>
      <c r="E154" s="1" t="s">
        <v>588</v>
      </c>
      <c r="F154" s="29">
        <v>72433</v>
      </c>
      <c r="G154" s="1" t="s">
        <v>595</v>
      </c>
      <c r="J154" s="3"/>
    </row>
    <row r="155" spans="1:10">
      <c r="A155" s="1" t="s">
        <v>596</v>
      </c>
      <c r="B155" s="1" t="s">
        <v>597</v>
      </c>
      <c r="C155" s="34">
        <v>1.094E-2</v>
      </c>
      <c r="D155" s="3">
        <v>1.18E-2</v>
      </c>
      <c r="E155" s="1" t="s">
        <v>598</v>
      </c>
      <c r="F155" s="29">
        <v>117948</v>
      </c>
      <c r="G155" s="1" t="s">
        <v>599</v>
      </c>
      <c r="J155" s="3"/>
    </row>
    <row r="156" spans="1:10">
      <c r="A156" s="1" t="s">
        <v>600</v>
      </c>
      <c r="B156" s="1" t="s">
        <v>601</v>
      </c>
      <c r="C156" s="34">
        <v>0.17610000000000001</v>
      </c>
      <c r="D156" s="3">
        <v>3.3399999999999999E-2</v>
      </c>
      <c r="E156" s="1" t="s">
        <v>588</v>
      </c>
      <c r="F156" s="29">
        <v>1614</v>
      </c>
      <c r="G156" s="1" t="s">
        <v>602</v>
      </c>
      <c r="J156" s="3"/>
    </row>
    <row r="157" spans="1:10">
      <c r="A157" s="1" t="s">
        <v>603</v>
      </c>
      <c r="B157" s="1" t="s">
        <v>604</v>
      </c>
      <c r="C157" s="34">
        <v>1.286E-2</v>
      </c>
      <c r="D157" s="3">
        <v>2.0000000000000001E-4</v>
      </c>
      <c r="E157" s="1" t="s">
        <v>588</v>
      </c>
      <c r="F157" s="29">
        <v>1659</v>
      </c>
      <c r="G157" s="1" t="s">
        <v>605</v>
      </c>
      <c r="J157" s="3"/>
    </row>
    <row r="158" spans="1:10">
      <c r="A158" s="1" t="s">
        <v>606</v>
      </c>
      <c r="B158" s="1" t="s">
        <v>607</v>
      </c>
      <c r="C158" s="34">
        <v>7.7060000000000002E-3</v>
      </c>
      <c r="D158" s="3">
        <v>8.9999999999999998E-4</v>
      </c>
      <c r="E158" s="1" t="s">
        <v>608</v>
      </c>
      <c r="F158" s="29">
        <v>220065</v>
      </c>
      <c r="G158" s="1" t="s">
        <v>609</v>
      </c>
      <c r="J158" s="3"/>
    </row>
    <row r="159" spans="1:10">
      <c r="A159" s="1" t="s">
        <v>610</v>
      </c>
      <c r="B159" s="1" t="s">
        <v>611</v>
      </c>
      <c r="C159" s="34">
        <v>1.06E-2</v>
      </c>
      <c r="D159" s="3">
        <v>1.61E-2</v>
      </c>
      <c r="E159" s="1" t="s">
        <v>608</v>
      </c>
      <c r="F159" s="29">
        <v>155287</v>
      </c>
      <c r="G159" s="1" t="s">
        <v>612</v>
      </c>
      <c r="J159" s="3"/>
    </row>
    <row r="160" spans="1:10">
      <c r="A160" s="1" t="s">
        <v>613</v>
      </c>
      <c r="B160" s="1" t="s">
        <v>614</v>
      </c>
      <c r="C160" s="34">
        <v>7.4697E-2</v>
      </c>
      <c r="D160" s="3">
        <v>1.1000000000000001E-3</v>
      </c>
      <c r="E160" s="1" t="s">
        <v>615</v>
      </c>
      <c r="F160" s="29">
        <v>239395</v>
      </c>
      <c r="G160" s="1" t="s">
        <v>616</v>
      </c>
      <c r="J160" s="3"/>
    </row>
    <row r="161" spans="1:10">
      <c r="A161" s="1" t="s">
        <v>617</v>
      </c>
      <c r="B161" s="1" t="s">
        <v>618</v>
      </c>
      <c r="C161" s="34">
        <v>6.9080000000000001E-3</v>
      </c>
      <c r="D161" s="3">
        <v>1.1999999999999999E-3</v>
      </c>
      <c r="E161" s="1" t="s">
        <v>619</v>
      </c>
      <c r="F161" s="29">
        <v>977333</v>
      </c>
      <c r="G161" s="1" t="s">
        <v>620</v>
      </c>
      <c r="J161" s="3"/>
    </row>
    <row r="162" spans="1:10">
      <c r="A162" s="1" t="s">
        <v>621</v>
      </c>
      <c r="B162" s="1" t="s">
        <v>622</v>
      </c>
      <c r="C162" s="34">
        <v>2.632E-2</v>
      </c>
      <c r="D162" s="3">
        <v>2.6700000000000002E-2</v>
      </c>
      <c r="E162" s="1" t="s">
        <v>623</v>
      </c>
      <c r="F162" s="29">
        <v>721481</v>
      </c>
      <c r="G162" s="1" t="s">
        <v>624</v>
      </c>
      <c r="J162" s="3"/>
    </row>
    <row r="163" spans="1:10">
      <c r="A163" s="1" t="s">
        <v>625</v>
      </c>
      <c r="B163" s="1" t="s">
        <v>626</v>
      </c>
      <c r="C163" s="34">
        <v>4.2319999999999999E-4</v>
      </c>
      <c r="D163" s="3">
        <v>9.7000000000000003E-3</v>
      </c>
      <c r="E163" s="1" t="s">
        <v>623</v>
      </c>
      <c r="F163" s="29">
        <v>1422530</v>
      </c>
      <c r="G163" s="1" t="s">
        <v>627</v>
      </c>
      <c r="J163" s="3"/>
    </row>
    <row r="164" spans="1:10">
      <c r="A164" s="1" t="s">
        <v>628</v>
      </c>
      <c r="B164" s="1" t="s">
        <v>629</v>
      </c>
      <c r="C164" s="34">
        <v>8.6726999999999999E-2</v>
      </c>
      <c r="D164" s="3">
        <v>0</v>
      </c>
      <c r="E164" s="1" t="s">
        <v>630</v>
      </c>
      <c r="F164" s="1" t="s">
        <v>445</v>
      </c>
      <c r="G164" s="1" t="s">
        <v>631</v>
      </c>
      <c r="J164" s="3"/>
    </row>
    <row r="165" spans="1:10">
      <c r="A165" s="1" t="s">
        <v>632</v>
      </c>
      <c r="B165" s="1" t="s">
        <v>632</v>
      </c>
      <c r="C165" s="34">
        <v>2.2959999999999999E-3</v>
      </c>
      <c r="D165" s="3">
        <v>1E-3</v>
      </c>
      <c r="E165" s="1" t="s">
        <v>630</v>
      </c>
      <c r="F165" s="29">
        <v>107281</v>
      </c>
      <c r="G165" s="1" t="s">
        <v>75</v>
      </c>
      <c r="J165" s="3"/>
    </row>
    <row r="166" spans="1:10">
      <c r="A166" s="1" t="s">
        <v>633</v>
      </c>
      <c r="B166" s="1" t="s">
        <v>634</v>
      </c>
      <c r="C166" s="34">
        <v>5.638E-2</v>
      </c>
      <c r="D166" s="3">
        <v>2.4799999999999999E-2</v>
      </c>
      <c r="E166" s="1" t="s">
        <v>635</v>
      </c>
      <c r="F166" s="29">
        <v>465</v>
      </c>
      <c r="G166" s="1" t="s">
        <v>636</v>
      </c>
      <c r="J166" s="3"/>
    </row>
    <row r="167" spans="1:10">
      <c r="A167" s="1" t="s">
        <v>637</v>
      </c>
      <c r="B167" s="1" t="s">
        <v>638</v>
      </c>
      <c r="C167" s="34">
        <v>4.8439999999999997E-2</v>
      </c>
      <c r="D167" s="3">
        <v>1.1000000000000001E-3</v>
      </c>
      <c r="E167" s="1" t="s">
        <v>639</v>
      </c>
      <c r="F167" s="29">
        <v>174927</v>
      </c>
      <c r="G167" s="1" t="s">
        <v>640</v>
      </c>
      <c r="J167" s="3"/>
    </row>
    <row r="168" spans="1:10">
      <c r="A168" s="1" t="s">
        <v>641</v>
      </c>
      <c r="B168" s="1" t="s">
        <v>642</v>
      </c>
      <c r="C168" s="34">
        <v>5.2623999999999997E-2</v>
      </c>
      <c r="D168" s="3">
        <v>4.0000000000000002E-4</v>
      </c>
      <c r="E168" s="1" t="s">
        <v>643</v>
      </c>
      <c r="F168" s="29">
        <v>287</v>
      </c>
      <c r="G168" s="1" t="s">
        <v>644</v>
      </c>
      <c r="J168" s="3"/>
    </row>
    <row r="169" spans="1:10">
      <c r="A169" s="1" t="s">
        <v>645</v>
      </c>
      <c r="B169" s="1" t="s">
        <v>646</v>
      </c>
      <c r="C169" s="34">
        <v>2.5270000000000002E-3</v>
      </c>
      <c r="D169" s="3">
        <v>5.8999999999999999E-3</v>
      </c>
      <c r="E169" s="1" t="s">
        <v>643</v>
      </c>
      <c r="F169" s="29">
        <v>274603</v>
      </c>
      <c r="G169" s="1" t="s">
        <v>59</v>
      </c>
      <c r="J169" s="3"/>
    </row>
    <row r="170" spans="1:10">
      <c r="A170" s="1" t="s">
        <v>647</v>
      </c>
      <c r="B170" s="1" t="s">
        <v>648</v>
      </c>
      <c r="C170" s="34">
        <v>2.283E-2</v>
      </c>
      <c r="D170" s="3">
        <v>3.2000000000000002E-3</v>
      </c>
      <c r="E170" s="1" t="s">
        <v>649</v>
      </c>
      <c r="F170" s="29">
        <v>69191</v>
      </c>
      <c r="G170" s="1" t="s">
        <v>650</v>
      </c>
      <c r="J170" s="3"/>
    </row>
    <row r="171" spans="1:10">
      <c r="A171" s="1" t="s">
        <v>651</v>
      </c>
      <c r="B171" s="1" t="s">
        <v>651</v>
      </c>
      <c r="C171" s="34">
        <v>2.6020000000000001E-3</v>
      </c>
      <c r="D171" s="3">
        <v>8.0000000000000002E-3</v>
      </c>
      <c r="E171" s="1" t="s">
        <v>649</v>
      </c>
      <c r="F171" s="29">
        <v>34103</v>
      </c>
      <c r="G171" s="1" t="s">
        <v>652</v>
      </c>
      <c r="J171" s="3"/>
    </row>
    <row r="172" spans="1:10">
      <c r="A172" s="1" t="s">
        <v>653</v>
      </c>
      <c r="B172" s="1" t="s">
        <v>653</v>
      </c>
      <c r="C172" s="34">
        <v>1.772E-2</v>
      </c>
      <c r="D172" s="3">
        <v>8.0999999999999996E-3</v>
      </c>
      <c r="E172" s="1" t="s">
        <v>654</v>
      </c>
      <c r="F172" s="29">
        <v>1983713</v>
      </c>
      <c r="G172" s="1" t="s">
        <v>655</v>
      </c>
      <c r="J172" s="3"/>
    </row>
    <row r="173" spans="1:10">
      <c r="A173" s="1" t="s">
        <v>656</v>
      </c>
      <c r="B173" s="1" t="s">
        <v>657</v>
      </c>
      <c r="C173" s="34">
        <v>2.003E-3</v>
      </c>
      <c r="D173" s="3">
        <v>1.5800000000000002E-2</v>
      </c>
      <c r="E173" s="1" t="s">
        <v>654</v>
      </c>
      <c r="F173" s="29">
        <v>944920</v>
      </c>
      <c r="G173" s="1" t="s">
        <v>59</v>
      </c>
      <c r="J173" s="3"/>
    </row>
    <row r="174" spans="1:10">
      <c r="A174" s="1" t="s">
        <v>658</v>
      </c>
      <c r="B174" s="1" t="s">
        <v>659</v>
      </c>
      <c r="C174" s="34">
        <v>0.73839999999999995</v>
      </c>
      <c r="D174" s="3">
        <v>8.9999999999999998E-4</v>
      </c>
      <c r="E174" s="1" t="s">
        <v>660</v>
      </c>
      <c r="F174" s="1" t="s">
        <v>445</v>
      </c>
      <c r="G174" s="1" t="s">
        <v>661</v>
      </c>
      <c r="J174" s="3"/>
    </row>
    <row r="175" spans="1:10">
      <c r="A175" s="1" t="s">
        <v>662</v>
      </c>
      <c r="B175" s="1" t="s">
        <v>662</v>
      </c>
      <c r="C175" s="34">
        <v>2.032E-3</v>
      </c>
      <c r="D175" s="3">
        <v>1.5599999999999999E-2</v>
      </c>
      <c r="E175" s="1" t="s">
        <v>660</v>
      </c>
      <c r="F175" s="29">
        <v>25840</v>
      </c>
      <c r="G175" s="1" t="s">
        <v>663</v>
      </c>
      <c r="J175" s="3"/>
    </row>
    <row r="176" spans="1:10">
      <c r="A176" s="1" t="s">
        <v>664</v>
      </c>
      <c r="B176" s="1" t="s">
        <v>665</v>
      </c>
      <c r="C176" s="34">
        <v>4.5649999999999996E-3</v>
      </c>
      <c r="D176" s="3">
        <v>1E-3</v>
      </c>
      <c r="E176" s="1" t="s">
        <v>660</v>
      </c>
      <c r="F176" s="29">
        <v>290910</v>
      </c>
      <c r="G176" s="1" t="s">
        <v>666</v>
      </c>
      <c r="J176" s="3"/>
    </row>
    <row r="177" spans="1:10">
      <c r="A177" s="1" t="s">
        <v>667</v>
      </c>
      <c r="B177" s="1" t="s">
        <v>668</v>
      </c>
      <c r="C177" s="34">
        <v>3.1009999999999999E-2</v>
      </c>
      <c r="D177" s="3">
        <v>1.21E-2</v>
      </c>
      <c r="E177" s="1" t="s">
        <v>660</v>
      </c>
      <c r="F177" s="29">
        <v>1872</v>
      </c>
      <c r="G177" s="1" t="s">
        <v>669</v>
      </c>
      <c r="J177" s="3"/>
    </row>
    <row r="178" spans="1:10">
      <c r="A178" s="1" t="s">
        <v>670</v>
      </c>
      <c r="B178" s="1" t="s">
        <v>671</v>
      </c>
      <c r="C178" s="34">
        <v>1.5070000000000001E-3</v>
      </c>
      <c r="D178" s="3">
        <v>2.9999999999999997E-4</v>
      </c>
      <c r="E178" s="1" t="s">
        <v>672</v>
      </c>
      <c r="F178" s="29">
        <v>117957</v>
      </c>
      <c r="G178" s="1" t="s">
        <v>673</v>
      </c>
      <c r="J178" s="3"/>
    </row>
    <row r="179" spans="1:10">
      <c r="A179" s="1" t="s">
        <v>674</v>
      </c>
      <c r="B179" s="1" t="s">
        <v>675</v>
      </c>
      <c r="C179" s="34">
        <v>0.1976</v>
      </c>
      <c r="D179" s="3">
        <v>1.2E-2</v>
      </c>
      <c r="E179" s="1" t="s">
        <v>672</v>
      </c>
      <c r="F179" s="29">
        <v>858809</v>
      </c>
      <c r="G179" s="1" t="s">
        <v>676</v>
      </c>
      <c r="J179" s="3"/>
    </row>
    <row r="180" spans="1:10">
      <c r="A180" s="1" t="s">
        <v>677</v>
      </c>
      <c r="B180" s="1" t="s">
        <v>678</v>
      </c>
      <c r="C180" s="34">
        <v>2.4190000000000001E-3</v>
      </c>
      <c r="D180" s="3">
        <v>9.7000000000000003E-3</v>
      </c>
      <c r="E180" s="1" t="s">
        <v>679</v>
      </c>
      <c r="F180" s="29">
        <v>62197</v>
      </c>
      <c r="G180" s="1" t="s">
        <v>680</v>
      </c>
      <c r="J180" s="3"/>
    </row>
    <row r="181" spans="1:10">
      <c r="A181" s="1" t="s">
        <v>681</v>
      </c>
      <c r="B181" s="1" t="s">
        <v>682</v>
      </c>
      <c r="C181" s="34">
        <v>3.1489999999999999E-3</v>
      </c>
      <c r="D181" s="3">
        <v>0</v>
      </c>
      <c r="E181" s="1" t="s">
        <v>679</v>
      </c>
      <c r="F181" s="29">
        <v>109870</v>
      </c>
      <c r="G181" s="1" t="s">
        <v>683</v>
      </c>
      <c r="J181" s="3"/>
    </row>
    <row r="182" spans="1:10">
      <c r="A182" s="1" t="s">
        <v>684</v>
      </c>
      <c r="B182" s="1" t="s">
        <v>685</v>
      </c>
      <c r="C182" s="34">
        <v>7.8279999999999999E-3</v>
      </c>
      <c r="D182" s="3">
        <v>0.18790000000000001</v>
      </c>
      <c r="E182" s="1" t="s">
        <v>686</v>
      </c>
      <c r="F182" s="29">
        <v>106039</v>
      </c>
      <c r="G182" s="1" t="s">
        <v>687</v>
      </c>
      <c r="J182" s="3"/>
    </row>
    <row r="183" spans="1:10">
      <c r="A183" s="1" t="s">
        <v>688</v>
      </c>
      <c r="B183" s="1" t="s">
        <v>689</v>
      </c>
      <c r="C183" s="34">
        <v>6.6490000000000004E-3</v>
      </c>
      <c r="D183" s="3">
        <v>0</v>
      </c>
      <c r="E183" s="1" t="s">
        <v>690</v>
      </c>
      <c r="F183" s="29">
        <v>36</v>
      </c>
      <c r="G183" s="1" t="s">
        <v>691</v>
      </c>
      <c r="J183" s="3"/>
    </row>
    <row r="184" spans="1:10">
      <c r="A184" s="1" t="s">
        <v>692</v>
      </c>
      <c r="B184" s="1" t="s">
        <v>693</v>
      </c>
      <c r="C184" s="34">
        <v>9.6310000000000007E-3</v>
      </c>
      <c r="D184" s="3">
        <v>2.8E-3</v>
      </c>
      <c r="E184" s="1" t="s">
        <v>690</v>
      </c>
      <c r="F184" s="29">
        <v>201257</v>
      </c>
      <c r="G184" s="1" t="s">
        <v>694</v>
      </c>
      <c r="J184" s="3"/>
    </row>
    <row r="185" spans="1:10">
      <c r="A185" s="1" t="s">
        <v>695</v>
      </c>
      <c r="B185" s="1" t="s">
        <v>696</v>
      </c>
      <c r="C185" s="34">
        <v>5.9199999999999997E-4</v>
      </c>
      <c r="D185" s="3">
        <v>6.7999999999999996E-3</v>
      </c>
      <c r="E185" s="1" t="s">
        <v>690</v>
      </c>
      <c r="F185" s="29">
        <v>1660204</v>
      </c>
      <c r="G185" s="1" t="s">
        <v>697</v>
      </c>
      <c r="J185" s="3"/>
    </row>
    <row r="186" spans="1:10">
      <c r="A186" s="1" t="s">
        <v>698</v>
      </c>
      <c r="B186" s="1" t="s">
        <v>698</v>
      </c>
      <c r="C186" s="34">
        <v>3.4099999999999998E-3</v>
      </c>
      <c r="D186" s="3">
        <v>3.0999999999999999E-3</v>
      </c>
      <c r="E186" s="1" t="s">
        <v>699</v>
      </c>
      <c r="F186" s="29">
        <v>115234</v>
      </c>
      <c r="G186" s="1" t="s">
        <v>700</v>
      </c>
      <c r="J186" s="3"/>
    </row>
    <row r="187" spans="1:10">
      <c r="A187" s="1" t="s">
        <v>701</v>
      </c>
      <c r="B187" s="1" t="s">
        <v>702</v>
      </c>
      <c r="C187" s="34">
        <v>7.5139999999999998E-2</v>
      </c>
      <c r="D187" s="3">
        <v>1E-4</v>
      </c>
      <c r="E187" s="1" t="s">
        <v>699</v>
      </c>
      <c r="F187" s="29">
        <v>119741</v>
      </c>
      <c r="G187" s="1" t="s">
        <v>506</v>
      </c>
      <c r="J187" s="3"/>
    </row>
    <row r="188" spans="1:10">
      <c r="A188" s="1" t="s">
        <v>703</v>
      </c>
      <c r="B188" s="1" t="s">
        <v>704</v>
      </c>
      <c r="C188" s="34">
        <v>7.633E-3</v>
      </c>
      <c r="D188" s="3">
        <v>1.0999999999999999E-2</v>
      </c>
      <c r="E188" s="1" t="s">
        <v>699</v>
      </c>
      <c r="F188" s="29">
        <v>43846</v>
      </c>
      <c r="G188" s="1" t="s">
        <v>705</v>
      </c>
      <c r="J188" s="3"/>
    </row>
    <row r="189" spans="1:10">
      <c r="A189" s="1" t="s">
        <v>706</v>
      </c>
      <c r="B189" s="1" t="s">
        <v>707</v>
      </c>
      <c r="C189" s="34">
        <v>6.391E-3</v>
      </c>
      <c r="D189" s="3">
        <v>0</v>
      </c>
      <c r="E189" s="1" t="s">
        <v>708</v>
      </c>
      <c r="F189" s="1" t="s">
        <v>445</v>
      </c>
      <c r="G189" s="1" t="s">
        <v>709</v>
      </c>
      <c r="J189" s="3"/>
    </row>
    <row r="190" spans="1:10">
      <c r="A190" s="1" t="s">
        <v>710</v>
      </c>
      <c r="B190" s="1" t="s">
        <v>711</v>
      </c>
      <c r="C190" s="34">
        <v>3.8420000000000001E-4</v>
      </c>
      <c r="D190" s="3">
        <v>0</v>
      </c>
      <c r="E190" s="1" t="s">
        <v>708</v>
      </c>
      <c r="F190" s="1" t="s">
        <v>445</v>
      </c>
      <c r="G190" s="1" t="s">
        <v>712</v>
      </c>
      <c r="J190" s="3"/>
    </row>
    <row r="191" spans="1:10">
      <c r="A191" s="1" t="s">
        <v>713</v>
      </c>
      <c r="B191" s="1" t="s">
        <v>714</v>
      </c>
      <c r="C191" s="34">
        <v>1.565E-3</v>
      </c>
      <c r="D191" s="3">
        <v>2E-3</v>
      </c>
      <c r="E191" s="1" t="s">
        <v>708</v>
      </c>
      <c r="F191" s="29">
        <v>606685</v>
      </c>
      <c r="G191" s="1" t="s">
        <v>59</v>
      </c>
      <c r="J191" s="3"/>
    </row>
    <row r="192" spans="1:10">
      <c r="A192" s="1" t="s">
        <v>715</v>
      </c>
      <c r="B192" s="1" t="s">
        <v>715</v>
      </c>
      <c r="C192" s="34">
        <v>4.2460000000000002E-4</v>
      </c>
      <c r="D192" s="3">
        <v>1.6000000000000001E-3</v>
      </c>
      <c r="E192" s="1" t="s">
        <v>716</v>
      </c>
      <c r="F192" s="29">
        <v>86086</v>
      </c>
      <c r="G192" s="1" t="s">
        <v>717</v>
      </c>
      <c r="J192" s="3"/>
    </row>
    <row r="193" spans="1:10">
      <c r="A193" s="1" t="s">
        <v>718</v>
      </c>
      <c r="B193" s="1" t="s">
        <v>719</v>
      </c>
      <c r="C193" s="34">
        <v>4.0850000000000001E-3</v>
      </c>
      <c r="D193" s="3">
        <v>2E-3</v>
      </c>
      <c r="E193" s="1" t="s">
        <v>716</v>
      </c>
      <c r="F193" s="29">
        <v>11736</v>
      </c>
      <c r="G193" s="1" t="s">
        <v>720</v>
      </c>
      <c r="J193" s="3"/>
    </row>
    <row r="194" spans="1:10">
      <c r="A194" s="1" t="s">
        <v>721</v>
      </c>
      <c r="B194" s="1" t="s">
        <v>722</v>
      </c>
      <c r="C194" s="34">
        <v>4.9459999999999999E-4</v>
      </c>
      <c r="D194" s="3">
        <v>4.3E-3</v>
      </c>
      <c r="E194" s="1" t="s">
        <v>716</v>
      </c>
      <c r="F194" s="29">
        <v>150756</v>
      </c>
      <c r="G194" s="1" t="s">
        <v>723</v>
      </c>
      <c r="J194" s="3"/>
    </row>
    <row r="195" spans="1:10">
      <c r="A195" s="1" t="s">
        <v>724</v>
      </c>
      <c r="B195" s="1" t="s">
        <v>725</v>
      </c>
      <c r="C195" s="34">
        <v>6.265E-4</v>
      </c>
      <c r="D195" s="3">
        <v>1.9E-3</v>
      </c>
      <c r="E195" s="1" t="s">
        <v>716</v>
      </c>
      <c r="F195" s="29">
        <v>1332029</v>
      </c>
      <c r="G195" s="1" t="s">
        <v>726</v>
      </c>
      <c r="J195" s="3"/>
    </row>
    <row r="196" spans="1:10">
      <c r="A196" s="1" t="s">
        <v>727</v>
      </c>
      <c r="B196" s="1" t="s">
        <v>728</v>
      </c>
      <c r="C196" s="34">
        <v>4.4560000000000002E-2</v>
      </c>
      <c r="D196" s="3">
        <v>1.26E-2</v>
      </c>
      <c r="E196" s="1" t="s">
        <v>716</v>
      </c>
      <c r="F196" s="29">
        <v>18</v>
      </c>
      <c r="G196" s="1" t="s">
        <v>729</v>
      </c>
      <c r="J196" s="3"/>
    </row>
    <row r="197" spans="1:10">
      <c r="A197" s="1" t="s">
        <v>730</v>
      </c>
      <c r="B197" s="1" t="s">
        <v>731</v>
      </c>
      <c r="C197" s="34">
        <v>1.286E-3</v>
      </c>
      <c r="D197" s="3">
        <v>0</v>
      </c>
      <c r="E197" s="1" t="s">
        <v>716</v>
      </c>
      <c r="F197" s="29">
        <v>395470</v>
      </c>
      <c r="G197" s="1" t="s">
        <v>732</v>
      </c>
      <c r="J197" s="3"/>
    </row>
    <row r="198" spans="1:10">
      <c r="A198" s="1" t="s">
        <v>733</v>
      </c>
      <c r="B198" s="1" t="s">
        <v>734</v>
      </c>
      <c r="C198" s="34">
        <v>1.3799999999999999E-4</v>
      </c>
      <c r="D198" s="3">
        <v>0.1177</v>
      </c>
      <c r="E198" s="1" t="s">
        <v>735</v>
      </c>
      <c r="F198" s="29">
        <v>1609979</v>
      </c>
      <c r="G198" s="1" t="s">
        <v>326</v>
      </c>
      <c r="J198" s="3"/>
    </row>
    <row r="199" spans="1:10">
      <c r="A199" s="1" t="s">
        <v>736</v>
      </c>
      <c r="B199" s="1" t="s">
        <v>737</v>
      </c>
      <c r="C199" s="34">
        <v>6.2379999999999996E-3</v>
      </c>
      <c r="D199" s="3">
        <v>2.9399999999999999E-2</v>
      </c>
      <c r="E199" s="1" t="s">
        <v>738</v>
      </c>
      <c r="F199" s="29">
        <v>32118</v>
      </c>
      <c r="G199" s="1" t="s">
        <v>739</v>
      </c>
      <c r="J199" s="3"/>
    </row>
    <row r="200" spans="1:10">
      <c r="A200" s="1" t="s">
        <v>740</v>
      </c>
      <c r="B200" s="1" t="s">
        <v>740</v>
      </c>
      <c r="C200" s="34">
        <v>1.2199999999999999E-3</v>
      </c>
      <c r="D200" s="3">
        <v>7.9000000000000008E-3</v>
      </c>
      <c r="E200" s="1" t="s">
        <v>741</v>
      </c>
      <c r="F200" s="29">
        <v>2223596</v>
      </c>
      <c r="G200" s="1" t="s">
        <v>59</v>
      </c>
      <c r="J200" s="3"/>
    </row>
    <row r="201" spans="1:10">
      <c r="A201" s="1" t="s">
        <v>742</v>
      </c>
      <c r="B201" s="1" t="s">
        <v>743</v>
      </c>
      <c r="C201" s="34">
        <v>1.532E-2</v>
      </c>
      <c r="D201" s="3">
        <v>2.06E-2</v>
      </c>
      <c r="E201" s="1" t="s">
        <v>741</v>
      </c>
      <c r="F201" s="29">
        <v>1855</v>
      </c>
      <c r="G201" s="1" t="s">
        <v>744</v>
      </c>
      <c r="J201"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6DFA9-CC94-47EA-8027-C07C430128F4}">
  <sheetPr codeName="Sheet7"/>
  <dimension ref="A1:R201"/>
  <sheetViews>
    <sheetView topLeftCell="K1" workbookViewId="0">
      <selection activeCell="R2" sqref="R2"/>
    </sheetView>
  </sheetViews>
  <sheetFormatPr defaultRowHeight="14.5"/>
  <cols>
    <col min="1" max="1" width="44.36328125" bestFit="1" customWidth="1"/>
    <col min="2" max="2" width="12.26953125" bestFit="1" customWidth="1"/>
    <col min="3" max="3" width="11.54296875" bestFit="1" customWidth="1"/>
    <col min="4" max="4" width="12.90625" bestFit="1" customWidth="1"/>
    <col min="5" max="5" width="10.26953125" bestFit="1" customWidth="1"/>
    <col min="6" max="6" width="16" bestFit="1" customWidth="1"/>
    <col min="7" max="7" width="16.36328125" bestFit="1" customWidth="1"/>
    <col min="8" max="8" width="13.6328125" bestFit="1" customWidth="1"/>
    <col min="9" max="9" width="12.54296875" bestFit="1" customWidth="1"/>
    <col min="10" max="10" width="18" bestFit="1" customWidth="1"/>
    <col min="11" max="11" width="10.36328125" bestFit="1" customWidth="1"/>
    <col min="14" max="14" width="10.08984375" bestFit="1" customWidth="1"/>
    <col min="15" max="15" width="9.36328125" bestFit="1" customWidth="1"/>
    <col min="16" max="16" width="9.81640625" bestFit="1" customWidth="1"/>
    <col min="17" max="17" width="11.81640625" bestFit="1" customWidth="1"/>
    <col min="18" max="18" width="16.6328125" bestFit="1" customWidth="1"/>
  </cols>
  <sheetData>
    <row r="1" spans="1:18">
      <c r="A1" s="2" t="s">
        <v>0</v>
      </c>
      <c r="B1" s="2" t="s">
        <v>1</v>
      </c>
      <c r="C1" s="2" t="s">
        <v>2</v>
      </c>
      <c r="D1" s="2" t="s">
        <v>3</v>
      </c>
      <c r="E1" s="2" t="s">
        <v>4</v>
      </c>
      <c r="F1" s="2" t="s">
        <v>5</v>
      </c>
      <c r="G1" s="2" t="s">
        <v>6</v>
      </c>
      <c r="H1" s="1" t="s">
        <v>781</v>
      </c>
      <c r="I1" s="1" t="s">
        <v>782</v>
      </c>
      <c r="J1" s="1" t="s">
        <v>785</v>
      </c>
      <c r="K1" s="1" t="s">
        <v>778</v>
      </c>
      <c r="N1" s="36" t="s">
        <v>786</v>
      </c>
      <c r="O1" s="21" t="s">
        <v>797</v>
      </c>
      <c r="P1" s="36" t="s">
        <v>798</v>
      </c>
      <c r="Q1" s="21" t="s">
        <v>799</v>
      </c>
      <c r="R1" s="21" t="s">
        <v>794</v>
      </c>
    </row>
    <row r="2" spans="1:18">
      <c r="A2" s="1" t="s">
        <v>7</v>
      </c>
      <c r="B2" s="1" t="s">
        <v>8</v>
      </c>
      <c r="C2" s="34">
        <v>104058.04</v>
      </c>
      <c r="D2" s="3">
        <v>2.3999999999999998E-3</v>
      </c>
      <c r="E2" s="1" t="s">
        <v>9</v>
      </c>
      <c r="F2" s="29">
        <v>43170391288</v>
      </c>
      <c r="G2" s="1" t="s">
        <v>10</v>
      </c>
      <c r="H2" s="37">
        <f>AVERAGE('Task 5'!I2:I11)</f>
        <v>-12.12</v>
      </c>
      <c r="J2" s="3">
        <f>IFERROR(AVERAGE(D2,H2,I2),"")</f>
        <v>-6.0587999999999997</v>
      </c>
      <c r="K2" t="str">
        <f>IF(C2&lt;=0.05,"$0-$0.05",IF(C2&lt;=0.5,"$0.05-$0.5",IF(C2&lt;=5,"$0.5-$5",IF(C2&lt;=50,"$5-$50","&gt;$50"))))</f>
        <v>&gt;$50</v>
      </c>
      <c r="N2" s="21">
        <f>COUNTA('Raw Data'!A2:A201)</f>
        <v>200</v>
      </c>
      <c r="O2" s="21" t="str">
        <f>INDEX('Raw Data'!A2:A201,MATCH(MAX('Raw Data'!D2:D201),'Raw Data'!D2:D201,0))</f>
        <v>Ctrl Wallet</v>
      </c>
      <c r="P2" s="21">
        <f>MAX('Raw Data'!C2:C201)</f>
        <v>104058.04</v>
      </c>
      <c r="Q2" s="21">
        <f>MAX('Raw Data'!F2:F201)</f>
        <v>60772601456</v>
      </c>
      <c r="R2" s="38">
        <f>ABS(AVERAGEIF('Task 5'!H2:I11,"&lt;0",'Task 5'!H2:I11))</f>
        <v>12.12</v>
      </c>
    </row>
    <row r="3" spans="1:18">
      <c r="A3" s="1" t="s">
        <v>11</v>
      </c>
      <c r="B3" s="1" t="s">
        <v>12</v>
      </c>
      <c r="C3" s="34">
        <v>2483.59</v>
      </c>
      <c r="D3" s="3">
        <v>7.6E-3</v>
      </c>
      <c r="E3" s="1" t="s">
        <v>13</v>
      </c>
      <c r="F3" s="29">
        <v>14942260356</v>
      </c>
      <c r="G3" s="1" t="s">
        <v>14</v>
      </c>
      <c r="J3" s="3">
        <f t="shared" ref="J3:J66" si="0">IFERROR(AVERAGE(D3,H3,I3),"")</f>
        <v>7.6E-3</v>
      </c>
      <c r="K3" s="1" t="str">
        <f t="shared" ref="K3:K66" si="1">IF(C3&lt;=0.05,"$0-$0.05",IF(C3&lt;=0.5,"$0.05-$0.5",IF(C3&lt;=5,"$0.5-$5",IF(C3&lt;=50,"$5-$50","&gt;$50"))))</f>
        <v>&gt;$50</v>
      </c>
    </row>
    <row r="4" spans="1:18">
      <c r="A4" s="1" t="s">
        <v>15</v>
      </c>
      <c r="B4" s="1" t="s">
        <v>16</v>
      </c>
      <c r="C4" s="34">
        <v>0.99990000000000001</v>
      </c>
      <c r="D4" s="3">
        <v>4.0000000000000002E-4</v>
      </c>
      <c r="E4" s="1" t="s">
        <v>17</v>
      </c>
      <c r="F4" s="29">
        <v>60772601456</v>
      </c>
      <c r="G4" s="1" t="s">
        <v>18</v>
      </c>
      <c r="J4" s="3">
        <f t="shared" si="0"/>
        <v>4.0000000000000002E-4</v>
      </c>
      <c r="K4" s="1" t="str">
        <f t="shared" si="1"/>
        <v>$0.5-$5</v>
      </c>
    </row>
    <row r="5" spans="1:18">
      <c r="A5" s="1" t="s">
        <v>19</v>
      </c>
      <c r="B5" s="1" t="s">
        <v>19</v>
      </c>
      <c r="C5" s="34">
        <v>2.12</v>
      </c>
      <c r="D5" s="3">
        <v>5.4999999999999997E-3</v>
      </c>
      <c r="E5" s="1" t="s">
        <v>20</v>
      </c>
      <c r="F5" s="29">
        <v>2046333328</v>
      </c>
      <c r="G5" s="1" t="s">
        <v>21</v>
      </c>
      <c r="J5" s="3">
        <f t="shared" si="0"/>
        <v>5.4999999999999997E-3</v>
      </c>
      <c r="K5" s="1" t="str">
        <f t="shared" si="1"/>
        <v>$0.5-$5</v>
      </c>
    </row>
    <row r="6" spans="1:18">
      <c r="A6" s="1" t="s">
        <v>22</v>
      </c>
      <c r="B6" s="1" t="s">
        <v>22</v>
      </c>
      <c r="C6" s="34">
        <v>644.79</v>
      </c>
      <c r="D6" s="3">
        <v>1E-3</v>
      </c>
      <c r="E6" s="1" t="s">
        <v>23</v>
      </c>
      <c r="F6" s="29">
        <v>1497928447</v>
      </c>
      <c r="G6" s="1" t="s">
        <v>24</v>
      </c>
      <c r="J6" s="3">
        <f t="shared" si="0"/>
        <v>1E-3</v>
      </c>
      <c r="K6" s="1" t="str">
        <f t="shared" si="1"/>
        <v>&gt;$50</v>
      </c>
    </row>
    <row r="7" spans="1:18">
      <c r="A7" s="1" t="s">
        <v>25</v>
      </c>
      <c r="B7" s="1" t="s">
        <v>26</v>
      </c>
      <c r="C7" s="34">
        <v>142.66999999999999</v>
      </c>
      <c r="D7" s="3">
        <v>9.9000000000000008E-3</v>
      </c>
      <c r="E7" s="1" t="s">
        <v>27</v>
      </c>
      <c r="F7" s="29">
        <v>2904341748</v>
      </c>
      <c r="G7" s="1" t="s">
        <v>28</v>
      </c>
      <c r="J7" s="3">
        <f t="shared" si="0"/>
        <v>9.9000000000000008E-3</v>
      </c>
      <c r="K7" s="1" t="str">
        <f t="shared" si="1"/>
        <v>&gt;$50</v>
      </c>
    </row>
    <row r="8" spans="1:18">
      <c r="A8" s="1" t="s">
        <v>29</v>
      </c>
      <c r="B8" s="1" t="s">
        <v>29</v>
      </c>
      <c r="C8" s="34">
        <v>0.99980000000000002</v>
      </c>
      <c r="D8" s="3">
        <v>2.9999999999999997E-4</v>
      </c>
      <c r="E8" s="1" t="s">
        <v>30</v>
      </c>
      <c r="F8" s="29">
        <v>8208315257</v>
      </c>
      <c r="G8" s="1" t="s">
        <v>31</v>
      </c>
      <c r="J8" s="3">
        <f t="shared" si="0"/>
        <v>2.9999999999999997E-4</v>
      </c>
      <c r="K8" s="1" t="str">
        <f t="shared" si="1"/>
        <v>$0.5-$5</v>
      </c>
    </row>
    <row r="9" spans="1:18">
      <c r="A9" s="1" t="s">
        <v>32</v>
      </c>
      <c r="B9" s="1" t="s">
        <v>33</v>
      </c>
      <c r="C9" s="34">
        <v>0.27339999999999998</v>
      </c>
      <c r="D9" s="3">
        <v>3.5999999999999999E-3</v>
      </c>
      <c r="E9" s="1" t="s">
        <v>34</v>
      </c>
      <c r="F9" s="29">
        <v>445406337</v>
      </c>
      <c r="G9" s="1" t="s">
        <v>35</v>
      </c>
      <c r="J9" s="3">
        <f t="shared" si="0"/>
        <v>3.5999999999999999E-3</v>
      </c>
      <c r="K9" s="1" t="str">
        <f t="shared" si="1"/>
        <v>$0.05-$0.5</v>
      </c>
    </row>
    <row r="10" spans="1:18">
      <c r="A10" s="1" t="s">
        <v>36</v>
      </c>
      <c r="B10" s="1" t="s">
        <v>37</v>
      </c>
      <c r="C10" s="34">
        <v>0.16539999999999999</v>
      </c>
      <c r="D10" s="3">
        <v>9.4000000000000004E-3</v>
      </c>
      <c r="E10" s="1" t="s">
        <v>38</v>
      </c>
      <c r="F10" s="29">
        <v>781433558</v>
      </c>
      <c r="G10" s="1" t="s">
        <v>39</v>
      </c>
      <c r="J10" s="3">
        <f t="shared" si="0"/>
        <v>9.4000000000000004E-3</v>
      </c>
      <c r="K10" s="1" t="str">
        <f t="shared" si="1"/>
        <v>$0.05-$0.5</v>
      </c>
    </row>
    <row r="11" spans="1:18">
      <c r="A11" s="1" t="s">
        <v>40</v>
      </c>
      <c r="B11" s="1" t="s">
        <v>41</v>
      </c>
      <c r="C11" s="34">
        <v>0.58079999999999998</v>
      </c>
      <c r="D11" s="3">
        <v>9.5999999999999992E-3</v>
      </c>
      <c r="E11" s="1" t="s">
        <v>42</v>
      </c>
      <c r="F11" s="29">
        <v>539447597</v>
      </c>
      <c r="G11" s="1" t="s">
        <v>43</v>
      </c>
      <c r="J11" s="3">
        <f t="shared" si="0"/>
        <v>9.5999999999999992E-3</v>
      </c>
      <c r="K11" s="1" t="str">
        <f t="shared" si="1"/>
        <v>$0.5-$5</v>
      </c>
    </row>
    <row r="12" spans="1:18">
      <c r="A12" s="1" t="s">
        <v>44</v>
      </c>
      <c r="B12" s="1" t="s">
        <v>45</v>
      </c>
      <c r="C12" s="34">
        <v>9.0959999999999999E-3</v>
      </c>
      <c r="D12" s="3">
        <v>1.4E-2</v>
      </c>
      <c r="E12" s="1" t="s">
        <v>46</v>
      </c>
      <c r="F12" s="29">
        <v>60468868</v>
      </c>
      <c r="G12" s="1" t="s">
        <v>47</v>
      </c>
      <c r="J12" s="3">
        <f t="shared" si="0"/>
        <v>1.4E-2</v>
      </c>
      <c r="K12" s="1" t="str">
        <f t="shared" si="1"/>
        <v>$0-$0.05</v>
      </c>
    </row>
    <row r="13" spans="1:18">
      <c r="A13" s="1" t="s">
        <v>48</v>
      </c>
      <c r="B13" s="1" t="s">
        <v>49</v>
      </c>
      <c r="C13" s="34">
        <v>0.42049999999999998</v>
      </c>
      <c r="D13" s="3">
        <v>1.5699999999999999E-2</v>
      </c>
      <c r="E13" s="1" t="s">
        <v>50</v>
      </c>
      <c r="F13" s="29">
        <v>22854744</v>
      </c>
      <c r="G13" s="1" t="s">
        <v>51</v>
      </c>
      <c r="J13" s="3">
        <f t="shared" si="0"/>
        <v>1.5699999999999999E-2</v>
      </c>
      <c r="K13" s="1" t="str">
        <f t="shared" si="1"/>
        <v>$0.05-$0.5</v>
      </c>
    </row>
    <row r="14" spans="1:18">
      <c r="A14" s="1" t="s">
        <v>52</v>
      </c>
      <c r="B14" s="1" t="s">
        <v>53</v>
      </c>
      <c r="C14" s="34">
        <v>2.06</v>
      </c>
      <c r="D14" s="3">
        <v>1.17E-2</v>
      </c>
      <c r="E14" s="1" t="s">
        <v>54</v>
      </c>
      <c r="F14" s="29">
        <v>110228545</v>
      </c>
      <c r="G14" s="1" t="s">
        <v>55</v>
      </c>
      <c r="J14" s="3">
        <f t="shared" si="0"/>
        <v>1.17E-2</v>
      </c>
      <c r="K14" s="1" t="str">
        <f t="shared" si="1"/>
        <v>$0.5-$5</v>
      </c>
    </row>
    <row r="15" spans="1:18">
      <c r="A15" s="1" t="s">
        <v>56</v>
      </c>
      <c r="B15" s="1" t="s">
        <v>57</v>
      </c>
      <c r="C15" s="34">
        <v>0.54430000000000001</v>
      </c>
      <c r="D15" s="3">
        <v>8.2000000000000007E-3</v>
      </c>
      <c r="E15" s="1" t="s">
        <v>58</v>
      </c>
      <c r="F15" s="29">
        <v>14386742</v>
      </c>
      <c r="G15" s="1" t="s">
        <v>59</v>
      </c>
      <c r="J15" s="3">
        <f t="shared" si="0"/>
        <v>8.2000000000000007E-3</v>
      </c>
      <c r="K15" s="1" t="str">
        <f t="shared" si="1"/>
        <v>$0.5-$5</v>
      </c>
    </row>
    <row r="16" spans="1:18">
      <c r="A16" s="1" t="s">
        <v>60</v>
      </c>
      <c r="B16" s="1" t="s">
        <v>61</v>
      </c>
      <c r="C16" s="34">
        <v>0.52070000000000005</v>
      </c>
      <c r="D16" s="3">
        <v>6.6E-3</v>
      </c>
      <c r="E16" s="1" t="s">
        <v>62</v>
      </c>
      <c r="F16" s="29">
        <v>14355952</v>
      </c>
      <c r="G16" s="1" t="s">
        <v>63</v>
      </c>
      <c r="J16" s="3">
        <f t="shared" si="0"/>
        <v>6.6E-3</v>
      </c>
      <c r="K16" s="1" t="str">
        <f t="shared" si="1"/>
        <v>$0.5-$5</v>
      </c>
    </row>
    <row r="17" spans="1:11">
      <c r="A17" s="1" t="s">
        <v>64</v>
      </c>
      <c r="B17" s="1" t="s">
        <v>65</v>
      </c>
      <c r="C17" s="34">
        <v>9.4530000000000003E-2</v>
      </c>
      <c r="D17" s="3">
        <v>2.2700000000000001E-2</v>
      </c>
      <c r="E17" s="1" t="s">
        <v>66</v>
      </c>
      <c r="F17" s="29">
        <v>27917564</v>
      </c>
      <c r="G17" s="1" t="s">
        <v>67</v>
      </c>
      <c r="J17" s="3">
        <f t="shared" si="0"/>
        <v>2.2700000000000001E-2</v>
      </c>
      <c r="K17" s="1" t="str">
        <f t="shared" si="1"/>
        <v>$0.05-$0.5</v>
      </c>
    </row>
    <row r="18" spans="1:11">
      <c r="A18" s="1" t="s">
        <v>68</v>
      </c>
      <c r="B18" s="1" t="s">
        <v>69</v>
      </c>
      <c r="C18" s="34">
        <v>0.33939999999999998</v>
      </c>
      <c r="D18" s="3">
        <v>0.01</v>
      </c>
      <c r="E18" s="1" t="s">
        <v>70</v>
      </c>
      <c r="F18" s="29">
        <v>21157648</v>
      </c>
      <c r="G18" s="1" t="s">
        <v>71</v>
      </c>
      <c r="J18" s="3">
        <f t="shared" si="0"/>
        <v>0.01</v>
      </c>
      <c r="K18" s="1" t="str">
        <f t="shared" si="1"/>
        <v>$0.05-$0.5</v>
      </c>
    </row>
    <row r="19" spans="1:11">
      <c r="A19" s="1" t="s">
        <v>72</v>
      </c>
      <c r="B19" s="1" t="s">
        <v>73</v>
      </c>
      <c r="C19" s="34">
        <v>0.46260000000000001</v>
      </c>
      <c r="D19" s="3">
        <v>3.0499999999999999E-2</v>
      </c>
      <c r="E19" s="1" t="s">
        <v>74</v>
      </c>
      <c r="F19" s="29">
        <v>70946476</v>
      </c>
      <c r="G19" s="1" t="s">
        <v>75</v>
      </c>
      <c r="J19" s="3">
        <f t="shared" si="0"/>
        <v>3.0499999999999999E-2</v>
      </c>
      <c r="K19" s="1" t="str">
        <f t="shared" si="1"/>
        <v>$0.05-$0.5</v>
      </c>
    </row>
    <row r="20" spans="1:11">
      <c r="A20" s="1" t="s">
        <v>76</v>
      </c>
      <c r="B20" s="1" t="s">
        <v>77</v>
      </c>
      <c r="C20" s="34">
        <v>0.2505</v>
      </c>
      <c r="D20" s="3">
        <v>1.37E-2</v>
      </c>
      <c r="E20" s="1" t="s">
        <v>78</v>
      </c>
      <c r="F20" s="29">
        <v>25685731</v>
      </c>
      <c r="G20" s="1" t="s">
        <v>79</v>
      </c>
      <c r="J20" s="3">
        <f t="shared" si="0"/>
        <v>1.37E-2</v>
      </c>
      <c r="K20" s="1" t="str">
        <f t="shared" si="1"/>
        <v>$0.05-$0.5</v>
      </c>
    </row>
    <row r="21" spans="1:11">
      <c r="A21" s="1" t="s">
        <v>80</v>
      </c>
      <c r="B21" s="1" t="s">
        <v>81</v>
      </c>
      <c r="C21" s="34">
        <v>0.99760000000000004</v>
      </c>
      <c r="D21" s="3">
        <v>1E-4</v>
      </c>
      <c r="E21" s="1" t="s">
        <v>82</v>
      </c>
      <c r="F21" s="29">
        <v>60347807</v>
      </c>
      <c r="G21" s="1" t="s">
        <v>83</v>
      </c>
      <c r="J21" s="3">
        <f t="shared" si="0"/>
        <v>1E-4</v>
      </c>
      <c r="K21" s="1" t="str">
        <f t="shared" si="1"/>
        <v>$0.5-$5</v>
      </c>
    </row>
    <row r="22" spans="1:11">
      <c r="A22" s="1" t="s">
        <v>84</v>
      </c>
      <c r="B22" s="1" t="s">
        <v>85</v>
      </c>
      <c r="C22" s="34">
        <v>4.45</v>
      </c>
      <c r="D22" s="3">
        <v>1E-4</v>
      </c>
      <c r="E22" s="1" t="s">
        <v>86</v>
      </c>
      <c r="F22" s="29">
        <v>58305626</v>
      </c>
      <c r="G22" s="1" t="s">
        <v>87</v>
      </c>
      <c r="J22" s="3">
        <f t="shared" si="0"/>
        <v>1E-4</v>
      </c>
      <c r="K22" s="1" t="str">
        <f t="shared" si="1"/>
        <v>$0.5-$5</v>
      </c>
    </row>
    <row r="23" spans="1:11">
      <c r="A23" s="1" t="s">
        <v>88</v>
      </c>
      <c r="B23" s="1" t="s">
        <v>89</v>
      </c>
      <c r="C23" s="34">
        <v>4.32</v>
      </c>
      <c r="D23" s="3">
        <v>4.4999999999999997E-3</v>
      </c>
      <c r="E23" s="1" t="s">
        <v>90</v>
      </c>
      <c r="F23" s="29">
        <v>17245756</v>
      </c>
      <c r="G23" s="1" t="s">
        <v>91</v>
      </c>
      <c r="J23" s="3">
        <f t="shared" si="0"/>
        <v>4.4999999999999997E-3</v>
      </c>
      <c r="K23" s="1" t="str">
        <f t="shared" si="1"/>
        <v>$0.5-$5</v>
      </c>
    </row>
    <row r="24" spans="1:11">
      <c r="A24" s="1" t="s">
        <v>92</v>
      </c>
      <c r="B24" s="1" t="s">
        <v>93</v>
      </c>
      <c r="C24" s="34">
        <v>3.26</v>
      </c>
      <c r="D24" s="3">
        <v>5.9999999999999995E-4</v>
      </c>
      <c r="E24" s="1" t="s">
        <v>94</v>
      </c>
      <c r="F24" s="29">
        <v>486945</v>
      </c>
      <c r="G24" s="1" t="s">
        <v>95</v>
      </c>
      <c r="J24" s="3">
        <f t="shared" si="0"/>
        <v>5.9999999999999995E-4</v>
      </c>
      <c r="K24" s="1" t="str">
        <f t="shared" si="1"/>
        <v>$0.5-$5</v>
      </c>
    </row>
    <row r="25" spans="1:11">
      <c r="A25" s="1" t="s">
        <v>96</v>
      </c>
      <c r="B25" s="1" t="s">
        <v>97</v>
      </c>
      <c r="C25" s="34">
        <v>1.43</v>
      </c>
      <c r="D25" s="3">
        <v>5.1999999999999998E-3</v>
      </c>
      <c r="E25" s="1" t="s">
        <v>98</v>
      </c>
      <c r="F25" s="29">
        <v>2595867</v>
      </c>
      <c r="G25" s="1" t="s">
        <v>99</v>
      </c>
      <c r="J25" s="3">
        <f t="shared" si="0"/>
        <v>5.1999999999999998E-3</v>
      </c>
      <c r="K25" s="1" t="str">
        <f t="shared" si="1"/>
        <v>$0.5-$5</v>
      </c>
    </row>
    <row r="26" spans="1:11">
      <c r="A26" s="1" t="s">
        <v>100</v>
      </c>
      <c r="B26" s="1" t="s">
        <v>101</v>
      </c>
      <c r="C26" s="34">
        <v>0.99770000000000003</v>
      </c>
      <c r="D26" s="3">
        <v>1E-4</v>
      </c>
      <c r="E26" s="1" t="s">
        <v>102</v>
      </c>
      <c r="F26" s="29">
        <v>6754108</v>
      </c>
      <c r="G26" s="1" t="s">
        <v>103</v>
      </c>
      <c r="J26" s="3">
        <f t="shared" si="0"/>
        <v>1E-4</v>
      </c>
      <c r="K26" s="1" t="str">
        <f t="shared" si="1"/>
        <v>$0.5-$5</v>
      </c>
    </row>
    <row r="27" spans="1:11">
      <c r="A27" s="1" t="s">
        <v>104</v>
      </c>
      <c r="B27" s="1" t="s">
        <v>105</v>
      </c>
      <c r="C27" s="34">
        <v>1.0900000000000001</v>
      </c>
      <c r="D27" s="3">
        <v>2.9999999999999997E-4</v>
      </c>
      <c r="E27" s="1" t="s">
        <v>106</v>
      </c>
      <c r="F27" s="29">
        <v>2293702</v>
      </c>
      <c r="G27" s="1" t="s">
        <v>107</v>
      </c>
      <c r="J27" s="3">
        <f t="shared" si="0"/>
        <v>2.9999999999999997E-4</v>
      </c>
      <c r="K27" s="1" t="str">
        <f t="shared" si="1"/>
        <v>$0.5-$5</v>
      </c>
    </row>
    <row r="28" spans="1:11">
      <c r="A28" s="1" t="s">
        <v>108</v>
      </c>
      <c r="B28" s="1" t="s">
        <v>109</v>
      </c>
      <c r="C28" s="34">
        <v>0.99970000000000003</v>
      </c>
      <c r="D28" s="3">
        <v>0</v>
      </c>
      <c r="E28" s="1" t="s">
        <v>110</v>
      </c>
      <c r="F28" s="29">
        <v>3265776</v>
      </c>
      <c r="G28" s="1" t="s">
        <v>111</v>
      </c>
      <c r="J28" s="3">
        <f t="shared" si="0"/>
        <v>0</v>
      </c>
      <c r="K28" s="1" t="str">
        <f t="shared" si="1"/>
        <v>$0.5-$5</v>
      </c>
    </row>
    <row r="29" spans="1:11">
      <c r="A29" s="1" t="s">
        <v>112</v>
      </c>
      <c r="B29" s="1" t="s">
        <v>113</v>
      </c>
      <c r="C29" s="34">
        <v>1.6469999999999999E-2</v>
      </c>
      <c r="D29" s="3">
        <v>5.1999999999999998E-3</v>
      </c>
      <c r="E29" s="1" t="s">
        <v>114</v>
      </c>
      <c r="F29" s="29">
        <v>183208</v>
      </c>
      <c r="G29" s="1" t="s">
        <v>115</v>
      </c>
      <c r="J29" s="3">
        <f t="shared" si="0"/>
        <v>5.1999999999999998E-3</v>
      </c>
      <c r="K29" s="1" t="str">
        <f t="shared" si="1"/>
        <v>$0-$0.05</v>
      </c>
    </row>
    <row r="30" spans="1:11">
      <c r="A30" s="1" t="s">
        <v>116</v>
      </c>
      <c r="B30" s="1" t="s">
        <v>117</v>
      </c>
      <c r="C30" s="34">
        <v>0.49459999999999998</v>
      </c>
      <c r="D30" s="3">
        <v>3.0300000000000001E-2</v>
      </c>
      <c r="E30" s="1" t="s">
        <v>118</v>
      </c>
      <c r="F30" s="29">
        <v>138536</v>
      </c>
      <c r="G30" s="1" t="s">
        <v>119</v>
      </c>
      <c r="J30" s="3">
        <f t="shared" si="0"/>
        <v>3.0300000000000001E-2</v>
      </c>
      <c r="K30" s="1" t="str">
        <f t="shared" si="1"/>
        <v>$0.05-$0.5</v>
      </c>
    </row>
    <row r="31" spans="1:11">
      <c r="A31" s="1" t="s">
        <v>120</v>
      </c>
      <c r="B31" s="1" t="s">
        <v>121</v>
      </c>
      <c r="C31" s="34">
        <v>7.3550000000000004E-4</v>
      </c>
      <c r="D31" s="3">
        <v>6.6E-3</v>
      </c>
      <c r="E31" s="1" t="s">
        <v>122</v>
      </c>
      <c r="F31" s="29">
        <v>772538</v>
      </c>
      <c r="G31" s="1" t="s">
        <v>123</v>
      </c>
      <c r="J31" s="3">
        <f t="shared" si="0"/>
        <v>6.6E-3</v>
      </c>
      <c r="K31" s="1" t="str">
        <f t="shared" si="1"/>
        <v>$0-$0.05</v>
      </c>
    </row>
    <row r="32" spans="1:11">
      <c r="A32" s="1" t="s">
        <v>124</v>
      </c>
      <c r="B32" s="1" t="s">
        <v>125</v>
      </c>
      <c r="C32" s="34">
        <v>0.1205</v>
      </c>
      <c r="D32" s="3">
        <v>1.14E-2</v>
      </c>
      <c r="E32" s="1" t="s">
        <v>126</v>
      </c>
      <c r="F32" s="29">
        <v>4884866</v>
      </c>
      <c r="G32" s="1" t="s">
        <v>127</v>
      </c>
      <c r="J32" s="3">
        <f t="shared" si="0"/>
        <v>1.14E-2</v>
      </c>
      <c r="K32" s="1" t="str">
        <f t="shared" si="1"/>
        <v>$0.05-$0.5</v>
      </c>
    </row>
    <row r="33" spans="1:11">
      <c r="A33" s="1" t="s">
        <v>128</v>
      </c>
      <c r="B33" s="1" t="s">
        <v>129</v>
      </c>
      <c r="C33" s="34">
        <v>0.1336</v>
      </c>
      <c r="D33" s="3">
        <v>3.2000000000000002E-3</v>
      </c>
      <c r="E33" s="1" t="s">
        <v>130</v>
      </c>
      <c r="F33" s="29">
        <v>3268919</v>
      </c>
      <c r="G33" s="1" t="s">
        <v>131</v>
      </c>
      <c r="J33" s="3">
        <f t="shared" si="0"/>
        <v>3.2000000000000002E-3</v>
      </c>
      <c r="K33" s="1" t="str">
        <f t="shared" si="1"/>
        <v>$0.05-$0.5</v>
      </c>
    </row>
    <row r="34" spans="1:11">
      <c r="A34" s="1" t="s">
        <v>132</v>
      </c>
      <c r="B34" s="1" t="s">
        <v>133</v>
      </c>
      <c r="C34" s="34">
        <v>0.1043</v>
      </c>
      <c r="D34" s="3">
        <v>6.3E-3</v>
      </c>
      <c r="E34" s="1" t="s">
        <v>134</v>
      </c>
      <c r="F34" s="29">
        <v>4086544</v>
      </c>
      <c r="G34" s="1" t="s">
        <v>135</v>
      </c>
      <c r="J34" s="3">
        <f t="shared" si="0"/>
        <v>6.3E-3</v>
      </c>
      <c r="K34" s="1" t="str">
        <f t="shared" si="1"/>
        <v>$0.05-$0.5</v>
      </c>
    </row>
    <row r="35" spans="1:11">
      <c r="A35" s="1" t="s">
        <v>136</v>
      </c>
      <c r="B35" s="1" t="s">
        <v>136</v>
      </c>
      <c r="C35" s="34">
        <v>5.0279999999999998E-2</v>
      </c>
      <c r="D35" s="3">
        <v>9.4999999999999998E-3</v>
      </c>
      <c r="E35" s="1" t="s">
        <v>137</v>
      </c>
      <c r="F35" s="29">
        <v>5574946</v>
      </c>
      <c r="G35" s="1" t="s">
        <v>138</v>
      </c>
      <c r="J35" s="3">
        <f t="shared" si="0"/>
        <v>9.4999999999999998E-3</v>
      </c>
      <c r="K35" s="1" t="str">
        <f t="shared" si="1"/>
        <v>$0.05-$0.5</v>
      </c>
    </row>
    <row r="36" spans="1:11">
      <c r="A36" s="1" t="s">
        <v>139</v>
      </c>
      <c r="B36" s="1" t="s">
        <v>140</v>
      </c>
      <c r="C36" s="34">
        <v>1.1480000000000001E-2</v>
      </c>
      <c r="D36" s="3">
        <v>1.1299999999999999E-2</v>
      </c>
      <c r="E36" s="1" t="s">
        <v>141</v>
      </c>
      <c r="F36" s="29">
        <v>6571559</v>
      </c>
      <c r="G36" s="1" t="s">
        <v>142</v>
      </c>
      <c r="J36" s="3">
        <f t="shared" si="0"/>
        <v>1.1299999999999999E-2</v>
      </c>
      <c r="K36" s="1" t="str">
        <f t="shared" si="1"/>
        <v>$0-$0.05</v>
      </c>
    </row>
    <row r="37" spans="1:11">
      <c r="A37" s="1" t="s">
        <v>143</v>
      </c>
      <c r="B37" s="1" t="s">
        <v>144</v>
      </c>
      <c r="C37" s="34">
        <v>0.15359999999999999</v>
      </c>
      <c r="D37" s="3">
        <v>1.01E-2</v>
      </c>
      <c r="E37" s="1" t="s">
        <v>145</v>
      </c>
      <c r="F37" s="29">
        <v>11365168</v>
      </c>
      <c r="G37" s="1" t="s">
        <v>146</v>
      </c>
      <c r="J37" s="3">
        <f t="shared" si="0"/>
        <v>1.01E-2</v>
      </c>
      <c r="K37" s="1" t="str">
        <f t="shared" si="1"/>
        <v>$0.05-$0.5</v>
      </c>
    </row>
    <row r="38" spans="1:11">
      <c r="A38" s="1" t="s">
        <v>147</v>
      </c>
      <c r="B38" s="1" t="s">
        <v>148</v>
      </c>
      <c r="C38" s="34">
        <v>0.16800000000000001</v>
      </c>
      <c r="D38" s="3">
        <v>2.8999999999999998E-3</v>
      </c>
      <c r="E38" s="1" t="s">
        <v>149</v>
      </c>
      <c r="F38" s="29">
        <v>44129611</v>
      </c>
      <c r="G38" s="1" t="s">
        <v>150</v>
      </c>
      <c r="J38" s="3">
        <f t="shared" si="0"/>
        <v>2.8999999999999998E-3</v>
      </c>
      <c r="K38" s="1" t="str">
        <f t="shared" si="1"/>
        <v>$0.05-$0.5</v>
      </c>
    </row>
    <row r="39" spans="1:11">
      <c r="A39" s="1" t="s">
        <v>151</v>
      </c>
      <c r="B39" s="1" t="s">
        <v>152</v>
      </c>
      <c r="C39" s="34">
        <v>0.1111</v>
      </c>
      <c r="D39" s="3">
        <v>7.1000000000000004E-3</v>
      </c>
      <c r="E39" s="1" t="s">
        <v>153</v>
      </c>
      <c r="F39" s="29">
        <v>1068402</v>
      </c>
      <c r="G39" s="1" t="s">
        <v>154</v>
      </c>
      <c r="J39" s="3">
        <f t="shared" si="0"/>
        <v>7.1000000000000004E-3</v>
      </c>
      <c r="K39" s="1" t="str">
        <f t="shared" si="1"/>
        <v>$0.05-$0.5</v>
      </c>
    </row>
    <row r="40" spans="1:11">
      <c r="A40" s="1" t="s">
        <v>155</v>
      </c>
      <c r="B40" s="1" t="s">
        <v>156</v>
      </c>
      <c r="C40" s="34">
        <v>0.1537</v>
      </c>
      <c r="D40" s="3">
        <v>5.4000000000000003E-3</v>
      </c>
      <c r="E40" s="1" t="s">
        <v>157</v>
      </c>
      <c r="F40" s="29">
        <v>7215924</v>
      </c>
      <c r="G40" s="1" t="s">
        <v>158</v>
      </c>
      <c r="J40" s="3">
        <f t="shared" si="0"/>
        <v>5.4000000000000003E-3</v>
      </c>
      <c r="K40" s="1" t="str">
        <f t="shared" si="1"/>
        <v>$0.05-$0.5</v>
      </c>
    </row>
    <row r="41" spans="1:11">
      <c r="A41" s="1" t="s">
        <v>159</v>
      </c>
      <c r="B41" s="1" t="s">
        <v>160</v>
      </c>
      <c r="C41" s="34">
        <v>1.813E-2</v>
      </c>
      <c r="D41" s="3">
        <v>1.5900000000000001E-2</v>
      </c>
      <c r="E41" s="1" t="s">
        <v>161</v>
      </c>
      <c r="F41" s="29">
        <v>8143928</v>
      </c>
      <c r="G41" s="1" t="s">
        <v>162</v>
      </c>
      <c r="J41" s="3">
        <f t="shared" si="0"/>
        <v>1.5900000000000001E-2</v>
      </c>
      <c r="K41" s="1" t="str">
        <f t="shared" si="1"/>
        <v>$0-$0.05</v>
      </c>
    </row>
    <row r="42" spans="1:11">
      <c r="A42" s="1" t="s">
        <v>163</v>
      </c>
      <c r="B42" s="1" t="s">
        <v>164</v>
      </c>
      <c r="C42" s="34">
        <v>7.1980000000000002E-2</v>
      </c>
      <c r="D42" s="3">
        <v>1.14E-2</v>
      </c>
      <c r="E42" s="1" t="s">
        <v>165</v>
      </c>
      <c r="F42" s="29">
        <v>25758134</v>
      </c>
      <c r="G42" s="1" t="s">
        <v>166</v>
      </c>
      <c r="J42" s="3">
        <f t="shared" si="0"/>
        <v>1.14E-2</v>
      </c>
      <c r="K42" s="1" t="str">
        <f t="shared" si="1"/>
        <v>$0.05-$0.5</v>
      </c>
    </row>
    <row r="43" spans="1:11">
      <c r="A43" s="1" t="s">
        <v>167</v>
      </c>
      <c r="B43" s="1" t="s">
        <v>168</v>
      </c>
      <c r="C43" s="34">
        <v>0.73740000000000006</v>
      </c>
      <c r="D43" s="3">
        <v>6.8999999999999999E-3</v>
      </c>
      <c r="E43" s="1" t="s">
        <v>169</v>
      </c>
      <c r="F43" s="29">
        <v>522812</v>
      </c>
      <c r="G43" s="1" t="s">
        <v>170</v>
      </c>
      <c r="J43" s="3">
        <f t="shared" si="0"/>
        <v>6.8999999999999999E-3</v>
      </c>
      <c r="K43" s="1" t="str">
        <f t="shared" si="1"/>
        <v>$0.5-$5</v>
      </c>
    </row>
    <row r="44" spans="1:11">
      <c r="A44" s="1" t="s">
        <v>171</v>
      </c>
      <c r="B44" s="1" t="s">
        <v>172</v>
      </c>
      <c r="C44" s="34">
        <v>1.5169999999999999E-3</v>
      </c>
      <c r="D44" s="3">
        <v>1.8800000000000001E-2</v>
      </c>
      <c r="E44" s="1" t="s">
        <v>173</v>
      </c>
      <c r="F44" s="29">
        <v>15717380</v>
      </c>
      <c r="G44" s="1" t="s">
        <v>174</v>
      </c>
      <c r="J44" s="3">
        <f t="shared" si="0"/>
        <v>1.8800000000000001E-2</v>
      </c>
      <c r="K44" s="1" t="str">
        <f t="shared" si="1"/>
        <v>$0-$0.05</v>
      </c>
    </row>
    <row r="45" spans="1:11">
      <c r="A45" s="1" t="s">
        <v>175</v>
      </c>
      <c r="B45" s="1" t="s">
        <v>176</v>
      </c>
      <c r="C45" s="34">
        <v>0.15379999999999999</v>
      </c>
      <c r="D45" s="3">
        <v>1.4E-3</v>
      </c>
      <c r="E45" s="1" t="s">
        <v>177</v>
      </c>
      <c r="F45" s="29">
        <v>4873644</v>
      </c>
      <c r="G45" s="1" t="s">
        <v>178</v>
      </c>
      <c r="J45" s="3">
        <f t="shared" si="0"/>
        <v>1.4E-3</v>
      </c>
      <c r="K45" s="1" t="str">
        <f t="shared" si="1"/>
        <v>$0.05-$0.5</v>
      </c>
    </row>
    <row r="46" spans="1:11">
      <c r="A46" s="1" t="s">
        <v>179</v>
      </c>
      <c r="B46" s="1" t="s">
        <v>180</v>
      </c>
      <c r="C46" s="34">
        <v>1.5440000000000001E-2</v>
      </c>
      <c r="D46" s="3">
        <v>1.6999999999999999E-3</v>
      </c>
      <c r="E46" s="1" t="s">
        <v>181</v>
      </c>
      <c r="F46" s="29">
        <v>1356568</v>
      </c>
      <c r="G46" s="1" t="s">
        <v>182</v>
      </c>
      <c r="J46" s="3">
        <f t="shared" si="0"/>
        <v>1.6999999999999999E-3</v>
      </c>
      <c r="K46" s="1" t="str">
        <f t="shared" si="1"/>
        <v>$0-$0.05</v>
      </c>
    </row>
    <row r="47" spans="1:11">
      <c r="A47" s="1" t="s">
        <v>183</v>
      </c>
      <c r="B47" s="1" t="s">
        <v>184</v>
      </c>
      <c r="C47" s="34">
        <v>9.5740000000000006E-2</v>
      </c>
      <c r="D47" s="3">
        <v>1.09E-2</v>
      </c>
      <c r="E47" s="1" t="s">
        <v>185</v>
      </c>
      <c r="F47" s="29">
        <v>9190572</v>
      </c>
      <c r="G47" s="1" t="s">
        <v>186</v>
      </c>
      <c r="J47" s="3">
        <f t="shared" si="0"/>
        <v>1.09E-2</v>
      </c>
      <c r="K47" s="1" t="str">
        <f t="shared" si="1"/>
        <v>$0.05-$0.5</v>
      </c>
    </row>
    <row r="48" spans="1:11">
      <c r="A48" s="1" t="s">
        <v>187</v>
      </c>
      <c r="B48" s="1" t="s">
        <v>188</v>
      </c>
      <c r="C48" s="34">
        <v>3.2290000000000001E-3</v>
      </c>
      <c r="D48" s="3">
        <v>3.4200000000000001E-2</v>
      </c>
      <c r="E48" s="1" t="s">
        <v>189</v>
      </c>
      <c r="F48" s="29">
        <v>7399528</v>
      </c>
      <c r="G48" s="1" t="s">
        <v>190</v>
      </c>
      <c r="J48" s="3">
        <f t="shared" si="0"/>
        <v>3.4200000000000001E-2</v>
      </c>
      <c r="K48" s="1" t="str">
        <f t="shared" si="1"/>
        <v>$0-$0.05</v>
      </c>
    </row>
    <row r="49" spans="1:11">
      <c r="A49" s="1" t="s">
        <v>191</v>
      </c>
      <c r="B49" s="1" t="s">
        <v>192</v>
      </c>
      <c r="C49" s="34">
        <v>7.8759999999999997E-2</v>
      </c>
      <c r="D49" s="3">
        <v>1.61E-2</v>
      </c>
      <c r="E49" s="1" t="s">
        <v>193</v>
      </c>
      <c r="F49" s="29">
        <v>12716009</v>
      </c>
      <c r="G49" s="1" t="s">
        <v>194</v>
      </c>
      <c r="J49" s="3">
        <f t="shared" si="0"/>
        <v>1.61E-2</v>
      </c>
      <c r="K49" s="1" t="str">
        <f t="shared" si="1"/>
        <v>$0.05-$0.5</v>
      </c>
    </row>
    <row r="50" spans="1:11">
      <c r="A50" s="1" t="s">
        <v>195</v>
      </c>
      <c r="B50" s="1" t="s">
        <v>196</v>
      </c>
      <c r="C50" s="34">
        <v>4.2049999999999997E-2</v>
      </c>
      <c r="D50" s="3">
        <v>2.4400000000000002E-2</v>
      </c>
      <c r="E50" s="1" t="s">
        <v>197</v>
      </c>
      <c r="F50" s="29">
        <v>135025163</v>
      </c>
      <c r="G50" s="1" t="s">
        <v>198</v>
      </c>
      <c r="J50" s="3">
        <f t="shared" si="0"/>
        <v>2.4400000000000002E-2</v>
      </c>
      <c r="K50" s="1" t="str">
        <f t="shared" si="1"/>
        <v>$0-$0.05</v>
      </c>
    </row>
    <row r="51" spans="1:11">
      <c r="A51" s="1" t="s">
        <v>199</v>
      </c>
      <c r="B51" s="1" t="s">
        <v>200</v>
      </c>
      <c r="C51" s="34">
        <v>5.9470000000000002E-2</v>
      </c>
      <c r="D51" s="3">
        <v>2.0000000000000001E-4</v>
      </c>
      <c r="E51" s="1" t="s">
        <v>201</v>
      </c>
      <c r="F51" s="29">
        <v>12909</v>
      </c>
      <c r="G51" s="1" t="s">
        <v>202</v>
      </c>
      <c r="J51" s="3">
        <f t="shared" si="0"/>
        <v>2.0000000000000001E-4</v>
      </c>
      <c r="K51" s="1" t="str">
        <f t="shared" si="1"/>
        <v>$0.05-$0.5</v>
      </c>
    </row>
    <row r="52" spans="1:11">
      <c r="A52" s="1" t="s">
        <v>203</v>
      </c>
      <c r="B52" s="1" t="s">
        <v>204</v>
      </c>
      <c r="C52" s="34">
        <v>6.2719999999999998E-3</v>
      </c>
      <c r="D52" s="3">
        <v>5.3E-3</v>
      </c>
      <c r="E52" s="1" t="s">
        <v>205</v>
      </c>
      <c r="F52" s="29">
        <v>16850030</v>
      </c>
      <c r="G52" s="1" t="s">
        <v>206</v>
      </c>
      <c r="J52" s="3">
        <f t="shared" si="0"/>
        <v>5.3E-3</v>
      </c>
      <c r="K52" s="1" t="str">
        <f t="shared" si="1"/>
        <v>$0-$0.05</v>
      </c>
    </row>
    <row r="53" spans="1:11">
      <c r="A53" s="1" t="s">
        <v>207</v>
      </c>
      <c r="B53" s="1" t="s">
        <v>208</v>
      </c>
      <c r="C53" s="34">
        <v>6.6350000000000003E-3</v>
      </c>
      <c r="D53" s="3">
        <v>1.32E-2</v>
      </c>
      <c r="E53" s="1" t="s">
        <v>209</v>
      </c>
      <c r="F53" s="29">
        <v>448016</v>
      </c>
      <c r="G53" s="1" t="s">
        <v>210</v>
      </c>
      <c r="J53" s="3">
        <f t="shared" si="0"/>
        <v>1.32E-2</v>
      </c>
      <c r="K53" s="1" t="str">
        <f t="shared" si="1"/>
        <v>$0-$0.05</v>
      </c>
    </row>
    <row r="54" spans="1:11">
      <c r="A54" s="1" t="s">
        <v>211</v>
      </c>
      <c r="B54" s="1" t="s">
        <v>212</v>
      </c>
      <c r="C54" s="34">
        <v>1.1769999999999999E-2</v>
      </c>
      <c r="D54" s="3">
        <v>1.8E-3</v>
      </c>
      <c r="E54" s="1" t="s">
        <v>213</v>
      </c>
      <c r="F54" s="29">
        <v>817224</v>
      </c>
      <c r="G54" s="1" t="s">
        <v>214</v>
      </c>
      <c r="J54" s="3">
        <f t="shared" si="0"/>
        <v>1.8E-3</v>
      </c>
      <c r="K54" s="1" t="str">
        <f t="shared" si="1"/>
        <v>$0-$0.05</v>
      </c>
    </row>
    <row r="55" spans="1:11">
      <c r="A55" s="1" t="s">
        <v>215</v>
      </c>
      <c r="B55" s="1" t="s">
        <v>216</v>
      </c>
      <c r="C55" s="34">
        <v>1.253E-3</v>
      </c>
      <c r="D55" s="3">
        <v>1.5299999999999999E-2</v>
      </c>
      <c r="E55" s="1" t="s">
        <v>217</v>
      </c>
      <c r="F55" s="29">
        <v>5590436</v>
      </c>
      <c r="G55" s="1" t="s">
        <v>218</v>
      </c>
      <c r="J55" s="3">
        <f t="shared" si="0"/>
        <v>1.5299999999999999E-2</v>
      </c>
      <c r="K55" s="1" t="str">
        <f t="shared" si="1"/>
        <v>$0-$0.05</v>
      </c>
    </row>
    <row r="56" spans="1:11">
      <c r="A56" s="1" t="s">
        <v>219</v>
      </c>
      <c r="B56" s="1" t="s">
        <v>220</v>
      </c>
      <c r="C56" s="34">
        <v>8.6260000000000003E-2</v>
      </c>
      <c r="D56" s="3">
        <v>9.1999999999999998E-3</v>
      </c>
      <c r="E56" s="1" t="s">
        <v>221</v>
      </c>
      <c r="F56" s="29">
        <v>2536218</v>
      </c>
      <c r="G56" s="1" t="s">
        <v>222</v>
      </c>
      <c r="J56" s="3">
        <f t="shared" si="0"/>
        <v>9.1999999999999998E-3</v>
      </c>
      <c r="K56" s="1" t="str">
        <f t="shared" si="1"/>
        <v>$0.05-$0.5</v>
      </c>
    </row>
    <row r="57" spans="1:11">
      <c r="A57" s="1" t="s">
        <v>223</v>
      </c>
      <c r="B57" s="1" t="s">
        <v>224</v>
      </c>
      <c r="C57" s="34">
        <v>1.1499999999999999</v>
      </c>
      <c r="D57" s="3">
        <v>6.9999999999999999E-4</v>
      </c>
      <c r="E57" s="1" t="s">
        <v>225</v>
      </c>
      <c r="F57" s="29">
        <v>22680605</v>
      </c>
      <c r="G57" s="1" t="s">
        <v>226</v>
      </c>
      <c r="J57" s="3">
        <f t="shared" si="0"/>
        <v>6.9999999999999999E-4</v>
      </c>
      <c r="K57" s="1" t="str">
        <f t="shared" si="1"/>
        <v>$0.5-$5</v>
      </c>
    </row>
    <row r="58" spans="1:11">
      <c r="A58" s="1" t="s">
        <v>227</v>
      </c>
      <c r="B58" s="1" t="s">
        <v>228</v>
      </c>
      <c r="C58" s="34">
        <v>5.1249999999999999E-5</v>
      </c>
      <c r="D58" s="3">
        <v>5.7000000000000002E-3</v>
      </c>
      <c r="E58" s="1" t="s">
        <v>229</v>
      </c>
      <c r="F58" s="29">
        <v>1414981</v>
      </c>
      <c r="G58" s="1" t="s">
        <v>230</v>
      </c>
      <c r="J58" s="3">
        <f t="shared" si="0"/>
        <v>5.7000000000000002E-3</v>
      </c>
      <c r="K58" s="1" t="str">
        <f t="shared" si="1"/>
        <v>$0-$0.05</v>
      </c>
    </row>
    <row r="59" spans="1:11">
      <c r="A59" s="1" t="s">
        <v>231</v>
      </c>
      <c r="B59" s="1" t="s">
        <v>232</v>
      </c>
      <c r="C59" s="34">
        <v>2.875E-3</v>
      </c>
      <c r="D59" s="3">
        <v>4.4999999999999997E-3</v>
      </c>
      <c r="E59" s="1" t="s">
        <v>233</v>
      </c>
      <c r="F59" s="29">
        <v>3358220</v>
      </c>
      <c r="G59" s="1" t="s">
        <v>234</v>
      </c>
      <c r="J59" s="3">
        <f t="shared" si="0"/>
        <v>4.4999999999999997E-3</v>
      </c>
      <c r="K59" s="1" t="str">
        <f t="shared" si="1"/>
        <v>$0-$0.05</v>
      </c>
    </row>
    <row r="60" spans="1:11">
      <c r="A60" s="1" t="s">
        <v>235</v>
      </c>
      <c r="B60" s="1" t="s">
        <v>236</v>
      </c>
      <c r="C60" s="34">
        <v>9.67</v>
      </c>
      <c r="D60" s="3">
        <v>1E-3</v>
      </c>
      <c r="E60" s="1" t="s">
        <v>237</v>
      </c>
      <c r="F60" s="29">
        <v>101491</v>
      </c>
      <c r="G60" s="1" t="s">
        <v>238</v>
      </c>
      <c r="J60" s="3">
        <f t="shared" si="0"/>
        <v>1E-3</v>
      </c>
      <c r="K60" s="1" t="str">
        <f t="shared" si="1"/>
        <v>$5-$50</v>
      </c>
    </row>
    <row r="61" spans="1:11">
      <c r="A61" s="1" t="s">
        <v>239</v>
      </c>
      <c r="B61" s="1" t="s">
        <v>240</v>
      </c>
      <c r="C61" s="34">
        <v>90.45</v>
      </c>
      <c r="D61" s="3">
        <v>2.8199999999999999E-2</v>
      </c>
      <c r="E61" s="1" t="s">
        <v>241</v>
      </c>
      <c r="F61" s="29">
        <v>21125</v>
      </c>
      <c r="G61" s="1" t="s">
        <v>242</v>
      </c>
      <c r="J61" s="3">
        <f t="shared" si="0"/>
        <v>2.8199999999999999E-2</v>
      </c>
      <c r="K61" s="1" t="str">
        <f t="shared" si="1"/>
        <v>&gt;$50</v>
      </c>
    </row>
    <row r="62" spans="1:11">
      <c r="A62" s="1" t="s">
        <v>243</v>
      </c>
      <c r="B62" s="1" t="s">
        <v>244</v>
      </c>
      <c r="C62" s="34">
        <v>0.30309999999999998</v>
      </c>
      <c r="D62" s="3">
        <v>1.7299999999999999E-2</v>
      </c>
      <c r="E62" s="1" t="s">
        <v>245</v>
      </c>
      <c r="F62" s="29">
        <v>17173</v>
      </c>
      <c r="G62" s="1" t="s">
        <v>246</v>
      </c>
      <c r="J62" s="3">
        <f t="shared" si="0"/>
        <v>1.7299999999999999E-2</v>
      </c>
      <c r="K62" s="1" t="str">
        <f t="shared" si="1"/>
        <v>$0.05-$0.5</v>
      </c>
    </row>
    <row r="63" spans="1:11">
      <c r="A63" s="1" t="s">
        <v>247</v>
      </c>
      <c r="B63" s="1" t="s">
        <v>248</v>
      </c>
      <c r="C63" s="34">
        <v>1.26</v>
      </c>
      <c r="D63" s="3">
        <v>3.0999999999999999E-3</v>
      </c>
      <c r="E63" s="1" t="s">
        <v>249</v>
      </c>
      <c r="F63" s="29">
        <v>1913531</v>
      </c>
      <c r="G63" s="1" t="s">
        <v>250</v>
      </c>
      <c r="J63" s="3">
        <f t="shared" si="0"/>
        <v>3.0999999999999999E-3</v>
      </c>
      <c r="K63" s="1" t="str">
        <f t="shared" si="1"/>
        <v>$0.5-$5</v>
      </c>
    </row>
    <row r="64" spans="1:11">
      <c r="A64" s="1" t="s">
        <v>251</v>
      </c>
      <c r="B64" s="1" t="s">
        <v>252</v>
      </c>
      <c r="C64" s="34">
        <v>0.53610000000000002</v>
      </c>
      <c r="D64" s="3">
        <v>4.8999999999999998E-3</v>
      </c>
      <c r="E64" s="1" t="s">
        <v>253</v>
      </c>
      <c r="F64" s="29">
        <v>5008504</v>
      </c>
      <c r="G64" s="1" t="s">
        <v>254</v>
      </c>
      <c r="J64" s="3">
        <f t="shared" si="0"/>
        <v>4.8999999999999998E-3</v>
      </c>
      <c r="K64" s="1" t="str">
        <f t="shared" si="1"/>
        <v>$0.5-$5</v>
      </c>
    </row>
    <row r="65" spans="1:11">
      <c r="A65" s="1" t="s">
        <v>255</v>
      </c>
      <c r="B65" s="1" t="s">
        <v>256</v>
      </c>
      <c r="C65" s="34">
        <v>1.245E-3</v>
      </c>
      <c r="D65" s="3">
        <v>2.5000000000000001E-3</v>
      </c>
      <c r="E65" s="1" t="s">
        <v>257</v>
      </c>
      <c r="F65" s="29">
        <v>1669915</v>
      </c>
      <c r="G65" s="1" t="s">
        <v>258</v>
      </c>
      <c r="J65" s="3">
        <f t="shared" si="0"/>
        <v>2.5000000000000001E-3</v>
      </c>
      <c r="K65" s="1" t="str">
        <f t="shared" si="1"/>
        <v>$0-$0.05</v>
      </c>
    </row>
    <row r="66" spans="1:11">
      <c r="A66" s="1" t="s">
        <v>259</v>
      </c>
      <c r="B66" s="1" t="s">
        <v>260</v>
      </c>
      <c r="C66" s="34">
        <v>1.4970000000000001E-2</v>
      </c>
      <c r="D66" s="3">
        <v>4.0000000000000002E-4</v>
      </c>
      <c r="E66" s="1" t="s">
        <v>261</v>
      </c>
      <c r="F66" s="29">
        <v>260802</v>
      </c>
      <c r="G66" s="1" t="s">
        <v>262</v>
      </c>
      <c r="J66" s="3">
        <f t="shared" si="0"/>
        <v>4.0000000000000002E-4</v>
      </c>
      <c r="K66" s="1" t="str">
        <f t="shared" si="1"/>
        <v>$0-$0.05</v>
      </c>
    </row>
    <row r="67" spans="1:11">
      <c r="A67" s="1" t="s">
        <v>263</v>
      </c>
      <c r="B67" s="1" t="s">
        <v>264</v>
      </c>
      <c r="C67" s="34">
        <v>2.13</v>
      </c>
      <c r="D67" s="3">
        <v>5.0000000000000001E-4</v>
      </c>
      <c r="E67" s="1" t="s">
        <v>265</v>
      </c>
      <c r="F67" s="29">
        <v>867656</v>
      </c>
      <c r="G67" s="1" t="s">
        <v>266</v>
      </c>
      <c r="J67" s="3">
        <f t="shared" ref="J67:J130" si="2">IFERROR(AVERAGE(D67,H67,I67),"")</f>
        <v>5.0000000000000001E-4</v>
      </c>
      <c r="K67" s="1" t="str">
        <f t="shared" ref="K67:K130" si="3">IF(C67&lt;=0.05,"$0-$0.05",IF(C67&lt;=0.5,"$0.05-$0.5",IF(C67&lt;=5,"$0.5-$5",IF(C67&lt;=50,"$5-$50","&gt;$50"))))</f>
        <v>$0.5-$5</v>
      </c>
    </row>
    <row r="68" spans="1:11">
      <c r="A68" s="1" t="s">
        <v>267</v>
      </c>
      <c r="B68" s="1" t="s">
        <v>268</v>
      </c>
      <c r="C68" s="34">
        <v>2.5299999999999998</v>
      </c>
      <c r="D68" s="3">
        <v>4.4000000000000003E-3</v>
      </c>
      <c r="E68" s="1" t="s">
        <v>269</v>
      </c>
      <c r="F68" s="29">
        <v>2914375</v>
      </c>
      <c r="G68" s="1" t="s">
        <v>270</v>
      </c>
      <c r="J68" s="3">
        <f t="shared" si="2"/>
        <v>4.4000000000000003E-3</v>
      </c>
      <c r="K68" s="1" t="str">
        <f t="shared" si="3"/>
        <v>$0.5-$5</v>
      </c>
    </row>
    <row r="69" spans="1:11">
      <c r="A69" s="1" t="s">
        <v>271</v>
      </c>
      <c r="B69" s="1" t="s">
        <v>272</v>
      </c>
      <c r="C69" s="34">
        <v>2.1000000000000001E-2</v>
      </c>
      <c r="D69" s="3">
        <v>8.0000000000000004E-4</v>
      </c>
      <c r="E69" s="1" t="s">
        <v>273</v>
      </c>
      <c r="F69" s="29">
        <v>252063</v>
      </c>
      <c r="G69" s="1" t="s">
        <v>274</v>
      </c>
      <c r="J69" s="3">
        <f t="shared" si="2"/>
        <v>8.0000000000000004E-4</v>
      </c>
      <c r="K69" s="1" t="str">
        <f t="shared" si="3"/>
        <v>$0-$0.05</v>
      </c>
    </row>
    <row r="70" spans="1:11">
      <c r="A70" s="1" t="s">
        <v>275</v>
      </c>
      <c r="B70" s="1" t="s">
        <v>276</v>
      </c>
      <c r="C70" s="34">
        <v>0.2442</v>
      </c>
      <c r="D70" s="3">
        <v>3.2000000000000002E-3</v>
      </c>
      <c r="E70" s="1" t="s">
        <v>277</v>
      </c>
      <c r="F70" s="29">
        <v>3564164</v>
      </c>
      <c r="G70" s="1" t="s">
        <v>278</v>
      </c>
      <c r="J70" s="3">
        <f t="shared" si="2"/>
        <v>3.2000000000000002E-3</v>
      </c>
      <c r="K70" s="1" t="str">
        <f t="shared" si="3"/>
        <v>$0.05-$0.5</v>
      </c>
    </row>
    <row r="71" spans="1:11">
      <c r="A71" s="1" t="s">
        <v>279</v>
      </c>
      <c r="B71" s="1" t="s">
        <v>280</v>
      </c>
      <c r="C71" s="34">
        <v>0.33879999999999999</v>
      </c>
      <c r="D71" s="3">
        <v>6.8999999999999999E-3</v>
      </c>
      <c r="E71" s="1" t="s">
        <v>281</v>
      </c>
      <c r="F71" s="29">
        <v>8693511</v>
      </c>
      <c r="G71" s="1" t="s">
        <v>282</v>
      </c>
      <c r="J71" s="3">
        <f t="shared" si="2"/>
        <v>6.8999999999999999E-3</v>
      </c>
      <c r="K71" s="1" t="str">
        <f t="shared" si="3"/>
        <v>$0.05-$0.5</v>
      </c>
    </row>
    <row r="72" spans="1:11">
      <c r="A72" s="1" t="s">
        <v>283</v>
      </c>
      <c r="B72" s="1" t="s">
        <v>284</v>
      </c>
      <c r="C72" s="34">
        <v>0.29930000000000001</v>
      </c>
      <c r="D72" s="3">
        <v>1.5E-3</v>
      </c>
      <c r="E72" s="1" t="s">
        <v>285</v>
      </c>
      <c r="F72" s="29">
        <v>254347</v>
      </c>
      <c r="G72" s="1" t="s">
        <v>286</v>
      </c>
      <c r="J72" s="3">
        <f t="shared" si="2"/>
        <v>1.5E-3</v>
      </c>
      <c r="K72" s="1" t="str">
        <f t="shared" si="3"/>
        <v>$0.05-$0.5</v>
      </c>
    </row>
    <row r="73" spans="1:11">
      <c r="A73" s="1" t="s">
        <v>287</v>
      </c>
      <c r="B73" s="1" t="s">
        <v>288</v>
      </c>
      <c r="C73" s="34">
        <v>0.1401</v>
      </c>
      <c r="D73" s="3">
        <v>1.77E-2</v>
      </c>
      <c r="E73" s="1" t="s">
        <v>289</v>
      </c>
      <c r="F73" s="29">
        <v>2161326</v>
      </c>
      <c r="G73" s="1" t="s">
        <v>290</v>
      </c>
      <c r="J73" s="3">
        <f t="shared" si="2"/>
        <v>1.77E-2</v>
      </c>
      <c r="K73" s="1" t="str">
        <f t="shared" si="3"/>
        <v>$0.05-$0.5</v>
      </c>
    </row>
    <row r="74" spans="1:11">
      <c r="A74" s="1" t="s">
        <v>291</v>
      </c>
      <c r="B74" s="1" t="s">
        <v>292</v>
      </c>
      <c r="C74" s="34">
        <v>0.12790000000000001</v>
      </c>
      <c r="D74" s="3">
        <v>7.6E-3</v>
      </c>
      <c r="E74" s="1" t="s">
        <v>293</v>
      </c>
      <c r="F74" s="29">
        <v>33236555</v>
      </c>
      <c r="G74" s="1" t="s">
        <v>294</v>
      </c>
      <c r="J74" s="3">
        <f t="shared" si="2"/>
        <v>7.6E-3</v>
      </c>
      <c r="K74" s="1" t="str">
        <f t="shared" si="3"/>
        <v>$0.05-$0.5</v>
      </c>
    </row>
    <row r="75" spans="1:11">
      <c r="A75" s="1" t="s">
        <v>295</v>
      </c>
      <c r="B75" s="1" t="s">
        <v>296</v>
      </c>
      <c r="C75" s="34">
        <v>0.5232</v>
      </c>
      <c r="D75" s="3">
        <v>2.1899999999999999E-2</v>
      </c>
      <c r="E75" s="1" t="s">
        <v>297</v>
      </c>
      <c r="F75" s="29">
        <v>5485485</v>
      </c>
      <c r="G75" s="1" t="s">
        <v>298</v>
      </c>
      <c r="J75" s="3">
        <f t="shared" si="2"/>
        <v>2.1899999999999999E-2</v>
      </c>
      <c r="K75" s="1" t="str">
        <f t="shared" si="3"/>
        <v>$0.5-$5</v>
      </c>
    </row>
    <row r="76" spans="1:11">
      <c r="A76" s="1" t="s">
        <v>299</v>
      </c>
      <c r="B76" s="1" t="s">
        <v>300</v>
      </c>
      <c r="C76" s="34">
        <v>3.9259999999999998E-3</v>
      </c>
      <c r="D76" s="3">
        <v>9.4000000000000004E-3</v>
      </c>
      <c r="E76" s="1" t="s">
        <v>301</v>
      </c>
      <c r="F76" s="29">
        <v>4157460</v>
      </c>
      <c r="G76" s="1" t="s">
        <v>302</v>
      </c>
      <c r="J76" s="3">
        <f t="shared" si="2"/>
        <v>9.4000000000000004E-3</v>
      </c>
      <c r="K76" s="1" t="str">
        <f t="shared" si="3"/>
        <v>$0-$0.05</v>
      </c>
    </row>
    <row r="77" spans="1:11">
      <c r="A77" s="1" t="s">
        <v>303</v>
      </c>
      <c r="B77" s="1" t="s">
        <v>304</v>
      </c>
      <c r="C77" s="34">
        <v>5.6509999999999998E-2</v>
      </c>
      <c r="D77" s="3">
        <v>1.46E-2</v>
      </c>
      <c r="E77" s="1" t="s">
        <v>305</v>
      </c>
      <c r="F77" s="29">
        <v>3148017</v>
      </c>
      <c r="G77" s="1" t="s">
        <v>306</v>
      </c>
      <c r="J77" s="3">
        <f t="shared" si="2"/>
        <v>1.46E-2</v>
      </c>
      <c r="K77" s="1" t="str">
        <f t="shared" si="3"/>
        <v>$0.05-$0.5</v>
      </c>
    </row>
    <row r="78" spans="1:11">
      <c r="A78" s="1" t="s">
        <v>307</v>
      </c>
      <c r="B78" s="1" t="s">
        <v>308</v>
      </c>
      <c r="C78" s="34">
        <v>8.3759999999999998E-3</v>
      </c>
      <c r="D78" s="3">
        <v>4.2700000000000002E-2</v>
      </c>
      <c r="E78" s="1" t="s">
        <v>309</v>
      </c>
      <c r="F78" s="29">
        <v>40860347</v>
      </c>
      <c r="G78" s="1" t="s">
        <v>310</v>
      </c>
      <c r="J78" s="3">
        <f t="shared" si="2"/>
        <v>4.2700000000000002E-2</v>
      </c>
      <c r="K78" s="1" t="str">
        <f t="shared" si="3"/>
        <v>$0-$0.05</v>
      </c>
    </row>
    <row r="79" spans="1:11">
      <c r="A79" s="1" t="s">
        <v>311</v>
      </c>
      <c r="B79" s="1" t="s">
        <v>312</v>
      </c>
      <c r="C79" s="34">
        <v>2.6540000000000001E-2</v>
      </c>
      <c r="D79" s="3">
        <v>3.3E-3</v>
      </c>
      <c r="E79" s="1" t="s">
        <v>313</v>
      </c>
      <c r="F79" s="29">
        <v>2231412</v>
      </c>
      <c r="G79" s="1" t="s">
        <v>314</v>
      </c>
      <c r="J79" s="3">
        <f t="shared" si="2"/>
        <v>3.3E-3</v>
      </c>
      <c r="K79" s="1" t="str">
        <f t="shared" si="3"/>
        <v>$0-$0.05</v>
      </c>
    </row>
    <row r="80" spans="1:11">
      <c r="A80" s="1" t="s">
        <v>315</v>
      </c>
      <c r="B80" s="1" t="s">
        <v>316</v>
      </c>
      <c r="C80" s="34">
        <v>0.18410000000000001</v>
      </c>
      <c r="D80" s="3">
        <v>1.8E-3</v>
      </c>
      <c r="E80" s="1" t="s">
        <v>317</v>
      </c>
      <c r="F80" s="29">
        <v>3675488</v>
      </c>
      <c r="G80" s="1" t="s">
        <v>318</v>
      </c>
      <c r="J80" s="3">
        <f t="shared" si="2"/>
        <v>1.8E-3</v>
      </c>
      <c r="K80" s="1" t="str">
        <f t="shared" si="3"/>
        <v>$0.05-$0.5</v>
      </c>
    </row>
    <row r="81" spans="1:11">
      <c r="A81" s="1" t="s">
        <v>319</v>
      </c>
      <c r="B81" s="1" t="s">
        <v>320</v>
      </c>
      <c r="C81" s="34">
        <v>2.085E-2</v>
      </c>
      <c r="D81" s="3">
        <v>1.26E-2</v>
      </c>
      <c r="E81" s="1" t="s">
        <v>321</v>
      </c>
      <c r="F81" s="29">
        <v>5290020</v>
      </c>
      <c r="G81" s="1" t="s">
        <v>322</v>
      </c>
      <c r="J81" s="3">
        <f t="shared" si="2"/>
        <v>1.26E-2</v>
      </c>
      <c r="K81" s="1" t="str">
        <f t="shared" si="3"/>
        <v>$0-$0.05</v>
      </c>
    </row>
    <row r="82" spans="1:11">
      <c r="A82" s="1" t="s">
        <v>323</v>
      </c>
      <c r="B82" s="1" t="s">
        <v>324</v>
      </c>
      <c r="C82" s="34">
        <v>2.2439999999999999E-3</v>
      </c>
      <c r="D82" s="3">
        <v>4.1999999999999997E-3</v>
      </c>
      <c r="E82" s="1" t="s">
        <v>325</v>
      </c>
      <c r="F82" s="29">
        <v>2554402</v>
      </c>
      <c r="G82" s="1" t="s">
        <v>326</v>
      </c>
      <c r="J82" s="3">
        <f t="shared" si="2"/>
        <v>4.1999999999999997E-3</v>
      </c>
      <c r="K82" s="1" t="str">
        <f t="shared" si="3"/>
        <v>$0-$0.05</v>
      </c>
    </row>
    <row r="83" spans="1:11">
      <c r="A83" s="1" t="s">
        <v>327</v>
      </c>
      <c r="B83" s="1" t="s">
        <v>328</v>
      </c>
      <c r="C83" s="34">
        <v>2.0410000000000001E-2</v>
      </c>
      <c r="D83" s="3">
        <v>4.24E-2</v>
      </c>
      <c r="E83" s="1" t="s">
        <v>329</v>
      </c>
      <c r="F83" s="29">
        <v>174082</v>
      </c>
      <c r="G83" s="1" t="s">
        <v>330</v>
      </c>
      <c r="J83" s="3">
        <f t="shared" si="2"/>
        <v>4.24E-2</v>
      </c>
      <c r="K83" s="1" t="str">
        <f t="shared" si="3"/>
        <v>$0-$0.05</v>
      </c>
    </row>
    <row r="84" spans="1:11">
      <c r="A84" s="1" t="s">
        <v>331</v>
      </c>
      <c r="B84" s="1" t="s">
        <v>332</v>
      </c>
      <c r="C84" s="34">
        <v>1.2229999999999999E-3</v>
      </c>
      <c r="D84" s="3">
        <v>2.0000000000000001E-4</v>
      </c>
      <c r="E84" s="1" t="s">
        <v>333</v>
      </c>
      <c r="F84" s="29">
        <v>362962</v>
      </c>
      <c r="G84" s="1" t="s">
        <v>334</v>
      </c>
      <c r="J84" s="3">
        <f t="shared" si="2"/>
        <v>2.0000000000000001E-4</v>
      </c>
      <c r="K84" s="1" t="str">
        <f t="shared" si="3"/>
        <v>$0-$0.05</v>
      </c>
    </row>
    <row r="85" spans="1:11">
      <c r="A85" s="1" t="s">
        <v>335</v>
      </c>
      <c r="B85" s="1" t="s">
        <v>336</v>
      </c>
      <c r="C85" s="34">
        <v>2.5230000000000001E-3</v>
      </c>
      <c r="D85" s="3">
        <v>1.24E-2</v>
      </c>
      <c r="E85" s="1" t="s">
        <v>337</v>
      </c>
      <c r="F85" s="29">
        <v>268389</v>
      </c>
      <c r="G85" s="1" t="s">
        <v>338</v>
      </c>
      <c r="J85" s="3">
        <f t="shared" si="2"/>
        <v>1.24E-2</v>
      </c>
      <c r="K85" s="1" t="str">
        <f t="shared" si="3"/>
        <v>$0-$0.05</v>
      </c>
    </row>
    <row r="86" spans="1:11">
      <c r="A86" s="1" t="s">
        <v>339</v>
      </c>
      <c r="B86" s="1" t="s">
        <v>340</v>
      </c>
      <c r="C86" s="34">
        <v>3.288E-2</v>
      </c>
      <c r="D86" s="3">
        <v>1E-4</v>
      </c>
      <c r="E86" s="1" t="s">
        <v>341</v>
      </c>
      <c r="F86" s="29">
        <v>999710</v>
      </c>
      <c r="G86" s="1" t="s">
        <v>342</v>
      </c>
      <c r="J86" s="3">
        <f t="shared" si="2"/>
        <v>1E-4</v>
      </c>
      <c r="K86" s="1" t="str">
        <f t="shared" si="3"/>
        <v>$0-$0.05</v>
      </c>
    </row>
    <row r="87" spans="1:11">
      <c r="A87" s="1" t="s">
        <v>343</v>
      </c>
      <c r="B87" s="1" t="s">
        <v>344</v>
      </c>
      <c r="C87" s="34">
        <v>2.8809999999999999E-2</v>
      </c>
      <c r="D87" s="3">
        <v>2.9999999999999997E-4</v>
      </c>
      <c r="E87" s="1" t="s">
        <v>345</v>
      </c>
      <c r="F87" s="29">
        <v>47</v>
      </c>
      <c r="G87" s="1" t="s">
        <v>346</v>
      </c>
      <c r="J87" s="3">
        <f t="shared" si="2"/>
        <v>2.9999999999999997E-4</v>
      </c>
      <c r="K87" s="1" t="str">
        <f t="shared" si="3"/>
        <v>$0-$0.05</v>
      </c>
    </row>
    <row r="88" spans="1:11">
      <c r="A88" s="1" t="s">
        <v>347</v>
      </c>
      <c r="B88" s="1" t="s">
        <v>348</v>
      </c>
      <c r="C88" s="34">
        <v>5.1970000000000002E-2</v>
      </c>
      <c r="D88" s="3">
        <v>1.04E-2</v>
      </c>
      <c r="E88" s="1" t="s">
        <v>349</v>
      </c>
      <c r="F88" s="29">
        <v>2452497</v>
      </c>
      <c r="G88" s="1" t="s">
        <v>350</v>
      </c>
      <c r="J88" s="3">
        <f t="shared" si="2"/>
        <v>1.04E-2</v>
      </c>
      <c r="K88" s="1" t="str">
        <f t="shared" si="3"/>
        <v>$0.05-$0.5</v>
      </c>
    </row>
    <row r="89" spans="1:11">
      <c r="A89" s="1" t="s">
        <v>351</v>
      </c>
      <c r="B89" s="1" t="s">
        <v>352</v>
      </c>
      <c r="C89" s="34">
        <v>1.7489999999999999E-2</v>
      </c>
      <c r="D89" s="3">
        <v>5.4999999999999997E-3</v>
      </c>
      <c r="E89" s="1" t="s">
        <v>353</v>
      </c>
      <c r="F89" s="29">
        <v>45</v>
      </c>
      <c r="G89" s="1" t="s">
        <v>75</v>
      </c>
      <c r="J89" s="3">
        <f t="shared" si="2"/>
        <v>5.4999999999999997E-3</v>
      </c>
      <c r="K89" s="1" t="str">
        <f t="shared" si="3"/>
        <v>$0-$0.05</v>
      </c>
    </row>
    <row r="90" spans="1:11">
      <c r="A90" s="1" t="s">
        <v>354</v>
      </c>
      <c r="B90" s="1" t="s">
        <v>355</v>
      </c>
      <c r="C90" s="34">
        <v>3.0099999999999998E-2</v>
      </c>
      <c r="D90" s="3">
        <v>1.5800000000000002E-2</v>
      </c>
      <c r="E90" s="1" t="s">
        <v>356</v>
      </c>
      <c r="F90" s="29">
        <v>2760725</v>
      </c>
      <c r="G90" s="1" t="s">
        <v>357</v>
      </c>
      <c r="J90" s="3">
        <f t="shared" si="2"/>
        <v>1.5800000000000002E-2</v>
      </c>
      <c r="K90" s="1" t="str">
        <f t="shared" si="3"/>
        <v>$0-$0.05</v>
      </c>
    </row>
    <row r="91" spans="1:11">
      <c r="A91" s="1" t="s">
        <v>358</v>
      </c>
      <c r="B91" s="1" t="s">
        <v>359</v>
      </c>
      <c r="C91" s="34">
        <v>1.3899999999999999E-2</v>
      </c>
      <c r="D91" s="3">
        <v>5.4999999999999997E-3</v>
      </c>
      <c r="E91" s="1" t="s">
        <v>360</v>
      </c>
      <c r="F91" s="29">
        <v>7675089</v>
      </c>
      <c r="G91" s="1" t="s">
        <v>361</v>
      </c>
      <c r="J91" s="3">
        <f t="shared" si="2"/>
        <v>5.4999999999999997E-3</v>
      </c>
      <c r="K91" s="1" t="str">
        <f t="shared" si="3"/>
        <v>$0-$0.05</v>
      </c>
    </row>
    <row r="92" spans="1:11">
      <c r="A92" s="1" t="s">
        <v>362</v>
      </c>
      <c r="B92" s="1" t="s">
        <v>363</v>
      </c>
      <c r="C92" s="34">
        <v>4.41E-2</v>
      </c>
      <c r="D92" s="3">
        <v>9.5999999999999992E-3</v>
      </c>
      <c r="E92" s="1" t="s">
        <v>364</v>
      </c>
      <c r="F92" s="29">
        <v>4797522</v>
      </c>
      <c r="G92" s="1" t="s">
        <v>365</v>
      </c>
      <c r="J92" s="3">
        <f t="shared" si="2"/>
        <v>9.5999999999999992E-3</v>
      </c>
      <c r="K92" s="1" t="str">
        <f t="shared" si="3"/>
        <v>$0-$0.05</v>
      </c>
    </row>
    <row r="93" spans="1:11">
      <c r="A93" s="1" t="s">
        <v>366</v>
      </c>
      <c r="B93" s="1" t="s">
        <v>367</v>
      </c>
      <c r="C93" s="34">
        <v>1.8370000000000001E-2</v>
      </c>
      <c r="D93" s="3">
        <v>4.0000000000000001E-3</v>
      </c>
      <c r="E93" s="1" t="s">
        <v>368</v>
      </c>
      <c r="F93" s="29">
        <v>884405</v>
      </c>
      <c r="G93" s="1" t="s">
        <v>369</v>
      </c>
      <c r="J93" s="3">
        <f t="shared" si="2"/>
        <v>4.0000000000000001E-3</v>
      </c>
      <c r="K93" s="1" t="str">
        <f t="shared" si="3"/>
        <v>$0-$0.05</v>
      </c>
    </row>
    <row r="94" spans="1:11">
      <c r="A94" s="1" t="s">
        <v>370</v>
      </c>
      <c r="B94" s="1" t="s">
        <v>371</v>
      </c>
      <c r="C94" s="34">
        <v>5.3610999999999999E-2</v>
      </c>
      <c r="D94" s="3">
        <v>2.0000000000000001E-4</v>
      </c>
      <c r="E94" s="1" t="s">
        <v>372</v>
      </c>
      <c r="F94" s="29">
        <v>191600</v>
      </c>
      <c r="G94" s="1" t="s">
        <v>373</v>
      </c>
      <c r="J94" s="3">
        <f t="shared" si="2"/>
        <v>2.0000000000000001E-4</v>
      </c>
      <c r="K94" s="1" t="str">
        <f t="shared" si="3"/>
        <v>$0.05-$0.5</v>
      </c>
    </row>
    <row r="95" spans="1:11">
      <c r="A95" s="1" t="s">
        <v>374</v>
      </c>
      <c r="B95" s="1" t="s">
        <v>375</v>
      </c>
      <c r="C95" s="34">
        <v>7.1993000000000001E-2</v>
      </c>
      <c r="D95" s="3">
        <v>2.9999999999999997E-4</v>
      </c>
      <c r="E95" s="1" t="s">
        <v>376</v>
      </c>
      <c r="F95" s="29">
        <v>326498</v>
      </c>
      <c r="G95" s="1" t="s">
        <v>377</v>
      </c>
      <c r="J95" s="3">
        <f t="shared" si="2"/>
        <v>2.9999999999999997E-4</v>
      </c>
      <c r="K95" s="1" t="str">
        <f t="shared" si="3"/>
        <v>$0.05-$0.5</v>
      </c>
    </row>
    <row r="96" spans="1:11">
      <c r="A96" s="1" t="s">
        <v>378</v>
      </c>
      <c r="B96" s="1" t="s">
        <v>379</v>
      </c>
      <c r="C96" s="34">
        <v>6.6669999999999993E-2</v>
      </c>
      <c r="D96" s="3">
        <v>1.1000000000000001E-3</v>
      </c>
      <c r="E96" s="1" t="s">
        <v>380</v>
      </c>
      <c r="F96" s="29">
        <v>3645223</v>
      </c>
      <c r="G96" s="1" t="s">
        <v>381</v>
      </c>
      <c r="J96" s="3">
        <f t="shared" si="2"/>
        <v>1.1000000000000001E-3</v>
      </c>
      <c r="K96" s="1" t="str">
        <f t="shared" si="3"/>
        <v>$0.05-$0.5</v>
      </c>
    </row>
    <row r="97" spans="1:11">
      <c r="A97" s="1" t="s">
        <v>382</v>
      </c>
      <c r="B97" s="1" t="s">
        <v>383</v>
      </c>
      <c r="C97" s="34">
        <v>1.6</v>
      </c>
      <c r="D97" s="3">
        <v>1.8E-3</v>
      </c>
      <c r="E97" s="1" t="s">
        <v>384</v>
      </c>
      <c r="F97" s="29">
        <v>3216530</v>
      </c>
      <c r="G97" s="1" t="s">
        <v>385</v>
      </c>
      <c r="J97" s="3">
        <f t="shared" si="2"/>
        <v>1.8E-3</v>
      </c>
      <c r="K97" s="1" t="str">
        <f t="shared" si="3"/>
        <v>$0.5-$5</v>
      </c>
    </row>
    <row r="98" spans="1:11">
      <c r="A98" s="1" t="s">
        <v>386</v>
      </c>
      <c r="B98" s="1" t="s">
        <v>387</v>
      </c>
      <c r="C98" s="34">
        <v>108.17</v>
      </c>
      <c r="D98" s="3">
        <v>5.9999999999999995E-4</v>
      </c>
      <c r="E98" s="1" t="s">
        <v>388</v>
      </c>
      <c r="F98" s="29">
        <v>1639272</v>
      </c>
      <c r="G98" s="1" t="s">
        <v>389</v>
      </c>
      <c r="J98" s="3">
        <f t="shared" si="2"/>
        <v>5.9999999999999995E-4</v>
      </c>
      <c r="K98" s="1" t="str">
        <f t="shared" si="3"/>
        <v>&gt;$50</v>
      </c>
    </row>
    <row r="99" spans="1:11">
      <c r="A99" s="1" t="s">
        <v>390</v>
      </c>
      <c r="B99" s="1" t="s">
        <v>391</v>
      </c>
      <c r="C99" s="34">
        <v>7.5079999999999994E-2</v>
      </c>
      <c r="D99" s="3">
        <v>6.9999999999999999E-4</v>
      </c>
      <c r="E99" s="1" t="s">
        <v>388</v>
      </c>
      <c r="F99" s="29">
        <v>1739142</v>
      </c>
      <c r="G99" s="1" t="s">
        <v>392</v>
      </c>
      <c r="J99" s="3">
        <f t="shared" si="2"/>
        <v>6.9999999999999999E-4</v>
      </c>
      <c r="K99" s="1" t="str">
        <f t="shared" si="3"/>
        <v>$0.05-$0.5</v>
      </c>
    </row>
    <row r="100" spans="1:11">
      <c r="A100" s="1" t="s">
        <v>393</v>
      </c>
      <c r="B100" s="1" t="s">
        <v>394</v>
      </c>
      <c r="C100" s="34">
        <v>2.934E-3</v>
      </c>
      <c r="D100" s="3">
        <v>7.3000000000000001E-3</v>
      </c>
      <c r="E100" s="1" t="s">
        <v>395</v>
      </c>
      <c r="F100" s="29">
        <v>2771456</v>
      </c>
      <c r="G100" s="1" t="s">
        <v>396</v>
      </c>
      <c r="J100" s="3">
        <f t="shared" si="2"/>
        <v>7.3000000000000001E-3</v>
      </c>
      <c r="K100" s="1" t="str">
        <f t="shared" si="3"/>
        <v>$0-$0.05</v>
      </c>
    </row>
    <row r="101" spans="1:11">
      <c r="A101" s="1" t="s">
        <v>397</v>
      </c>
      <c r="B101" s="1" t="s">
        <v>398</v>
      </c>
      <c r="C101" s="34">
        <v>6.8440000000000001E-2</v>
      </c>
      <c r="D101" s="3">
        <v>2.5100000000000001E-2</v>
      </c>
      <c r="E101" s="1" t="s">
        <v>399</v>
      </c>
      <c r="F101" s="29">
        <v>128760</v>
      </c>
      <c r="G101" s="1" t="s">
        <v>400</v>
      </c>
      <c r="J101" s="3">
        <f t="shared" si="2"/>
        <v>2.5100000000000001E-2</v>
      </c>
      <c r="K101" s="1" t="str">
        <f t="shared" si="3"/>
        <v>$0.05-$0.5</v>
      </c>
    </row>
    <row r="102" spans="1:11">
      <c r="A102" s="1" t="s">
        <v>401</v>
      </c>
      <c r="B102" s="1" t="s">
        <v>402</v>
      </c>
      <c r="C102" s="34">
        <v>0.3211</v>
      </c>
      <c r="D102" s="3">
        <v>3.0999999999999999E-3</v>
      </c>
      <c r="E102" s="1" t="s">
        <v>403</v>
      </c>
      <c r="F102" s="29">
        <v>654812</v>
      </c>
      <c r="G102" s="1" t="s">
        <v>404</v>
      </c>
      <c r="J102" s="3">
        <f t="shared" si="2"/>
        <v>3.0999999999999999E-3</v>
      </c>
      <c r="K102" s="1" t="str">
        <f t="shared" si="3"/>
        <v>$0.05-$0.5</v>
      </c>
    </row>
    <row r="103" spans="1:11">
      <c r="A103" s="1" t="s">
        <v>405</v>
      </c>
      <c r="B103" s="1" t="s">
        <v>406</v>
      </c>
      <c r="C103" s="34">
        <v>0.18229999999999999</v>
      </c>
      <c r="D103" s="3">
        <v>1E-4</v>
      </c>
      <c r="E103" s="1" t="s">
        <v>407</v>
      </c>
      <c r="F103" s="29">
        <v>3185</v>
      </c>
      <c r="G103" s="1" t="s">
        <v>408</v>
      </c>
      <c r="J103" s="3">
        <f t="shared" si="2"/>
        <v>1E-4</v>
      </c>
      <c r="K103" s="1" t="str">
        <f t="shared" si="3"/>
        <v>$0.05-$0.5</v>
      </c>
    </row>
    <row r="104" spans="1:11">
      <c r="A104" s="1" t="s">
        <v>409</v>
      </c>
      <c r="B104" s="1" t="s">
        <v>410</v>
      </c>
      <c r="C104" s="34">
        <v>4.9510000000000005E-4</v>
      </c>
      <c r="D104" s="3">
        <v>4.0500000000000001E-2</v>
      </c>
      <c r="E104" s="1" t="s">
        <v>407</v>
      </c>
      <c r="F104" s="29">
        <v>4772</v>
      </c>
      <c r="G104" s="1" t="s">
        <v>411</v>
      </c>
      <c r="J104" s="3">
        <f t="shared" si="2"/>
        <v>4.0500000000000001E-2</v>
      </c>
      <c r="K104" s="1" t="str">
        <f t="shared" si="3"/>
        <v>$0-$0.05</v>
      </c>
    </row>
    <row r="105" spans="1:11">
      <c r="A105" s="1" t="s">
        <v>412</v>
      </c>
      <c r="B105" s="1" t="s">
        <v>413</v>
      </c>
      <c r="C105" s="34">
        <v>7.8300000000000002E-3</v>
      </c>
      <c r="D105" s="3">
        <v>5.1000000000000004E-3</v>
      </c>
      <c r="E105" s="1" t="s">
        <v>403</v>
      </c>
      <c r="F105" s="29">
        <v>680959</v>
      </c>
      <c r="G105" s="1" t="s">
        <v>414</v>
      </c>
      <c r="J105" s="3">
        <f t="shared" si="2"/>
        <v>5.1000000000000004E-3</v>
      </c>
      <c r="K105" s="1" t="str">
        <f t="shared" si="3"/>
        <v>$0-$0.05</v>
      </c>
    </row>
    <row r="106" spans="1:11">
      <c r="A106" s="1" t="s">
        <v>415</v>
      </c>
      <c r="B106" s="1" t="s">
        <v>416</v>
      </c>
      <c r="C106" s="34">
        <v>5.5989999999999998E-2</v>
      </c>
      <c r="D106" s="3">
        <v>2.9999999999999997E-4</v>
      </c>
      <c r="E106" s="1" t="s">
        <v>403</v>
      </c>
      <c r="F106" s="29">
        <v>2332177</v>
      </c>
      <c r="G106" s="1" t="s">
        <v>417</v>
      </c>
      <c r="J106" s="3">
        <f t="shared" si="2"/>
        <v>2.9999999999999997E-4</v>
      </c>
      <c r="K106" s="1" t="str">
        <f t="shared" si="3"/>
        <v>$0.05-$0.5</v>
      </c>
    </row>
    <row r="107" spans="1:11">
      <c r="A107" s="1" t="s">
        <v>418</v>
      </c>
      <c r="B107" s="1" t="s">
        <v>419</v>
      </c>
      <c r="C107" s="34">
        <v>1.193E-2</v>
      </c>
      <c r="D107" s="3">
        <v>5.0000000000000001E-4</v>
      </c>
      <c r="E107" s="1" t="s">
        <v>420</v>
      </c>
      <c r="F107" s="29">
        <v>2707699</v>
      </c>
      <c r="G107" s="1" t="s">
        <v>421</v>
      </c>
      <c r="J107" s="3">
        <f t="shared" si="2"/>
        <v>5.0000000000000001E-4</v>
      </c>
      <c r="K107" s="1" t="str">
        <f t="shared" si="3"/>
        <v>$0-$0.05</v>
      </c>
    </row>
    <row r="108" spans="1:11">
      <c r="A108" s="1" t="s">
        <v>422</v>
      </c>
      <c r="B108" s="1" t="s">
        <v>423</v>
      </c>
      <c r="C108" s="34">
        <v>0.42120000000000002</v>
      </c>
      <c r="D108" s="3">
        <v>2.2000000000000001E-3</v>
      </c>
      <c r="E108" s="1" t="s">
        <v>424</v>
      </c>
      <c r="F108" s="29">
        <v>708276</v>
      </c>
      <c r="G108" s="1" t="s">
        <v>425</v>
      </c>
      <c r="J108" s="3">
        <f t="shared" si="2"/>
        <v>2.2000000000000001E-3</v>
      </c>
      <c r="K108" s="1" t="str">
        <f t="shared" si="3"/>
        <v>$0.05-$0.5</v>
      </c>
    </row>
    <row r="109" spans="1:11">
      <c r="A109" s="1" t="s">
        <v>426</v>
      </c>
      <c r="B109" s="1" t="s">
        <v>427</v>
      </c>
      <c r="C109" s="34">
        <v>2.198E-2</v>
      </c>
      <c r="D109" s="3">
        <v>1.41E-2</v>
      </c>
      <c r="E109" s="1" t="s">
        <v>428</v>
      </c>
      <c r="F109" s="29">
        <v>1407422</v>
      </c>
      <c r="G109" s="1" t="s">
        <v>429</v>
      </c>
      <c r="J109" s="3">
        <f t="shared" si="2"/>
        <v>1.41E-2</v>
      </c>
      <c r="K109" s="1" t="str">
        <f t="shared" si="3"/>
        <v>$0-$0.05</v>
      </c>
    </row>
    <row r="110" spans="1:11">
      <c r="A110" s="1" t="s">
        <v>430</v>
      </c>
      <c r="B110" s="1" t="s">
        <v>431</v>
      </c>
      <c r="C110" s="34">
        <v>1.163E-2</v>
      </c>
      <c r="D110" s="3">
        <v>4.1999999999999997E-3</v>
      </c>
      <c r="E110" s="1" t="s">
        <v>432</v>
      </c>
      <c r="F110" s="29">
        <v>1737116</v>
      </c>
      <c r="G110" s="1" t="s">
        <v>433</v>
      </c>
      <c r="J110" s="3">
        <f t="shared" si="2"/>
        <v>4.1999999999999997E-3</v>
      </c>
      <c r="K110" s="1" t="str">
        <f t="shared" si="3"/>
        <v>$0-$0.05</v>
      </c>
    </row>
    <row r="111" spans="1:11">
      <c r="A111" s="1" t="s">
        <v>434</v>
      </c>
      <c r="B111" s="1" t="s">
        <v>435</v>
      </c>
      <c r="C111" s="34">
        <v>146.91999999999999</v>
      </c>
      <c r="D111" s="3">
        <v>1.6000000000000001E-3</v>
      </c>
      <c r="E111" s="1" t="s">
        <v>436</v>
      </c>
      <c r="F111" s="29">
        <v>525209</v>
      </c>
      <c r="G111" s="1" t="s">
        <v>437</v>
      </c>
      <c r="J111" s="3">
        <f t="shared" si="2"/>
        <v>1.6000000000000001E-3</v>
      </c>
      <c r="K111" s="1" t="str">
        <f t="shared" si="3"/>
        <v>&gt;$50</v>
      </c>
    </row>
    <row r="112" spans="1:11">
      <c r="A112" s="1" t="s">
        <v>438</v>
      </c>
      <c r="B112" s="1" t="s">
        <v>439</v>
      </c>
      <c r="C112" s="34">
        <v>1.392E-4</v>
      </c>
      <c r="D112" s="3">
        <v>2.5000000000000001E-3</v>
      </c>
      <c r="E112" s="1" t="s">
        <v>440</v>
      </c>
      <c r="F112" s="29">
        <v>202163</v>
      </c>
      <c r="G112" s="1" t="s">
        <v>441</v>
      </c>
      <c r="J112" s="3">
        <f t="shared" si="2"/>
        <v>2.5000000000000001E-3</v>
      </c>
      <c r="K112" s="1" t="str">
        <f t="shared" si="3"/>
        <v>$0-$0.05</v>
      </c>
    </row>
    <row r="113" spans="1:11">
      <c r="A113" s="1" t="s">
        <v>442</v>
      </c>
      <c r="B113" s="1" t="s">
        <v>443</v>
      </c>
      <c r="C113" s="34">
        <v>0.1065</v>
      </c>
      <c r="D113" s="3">
        <v>0</v>
      </c>
      <c r="E113" s="1" t="s">
        <v>444</v>
      </c>
      <c r="F113" s="1" t="s">
        <v>445</v>
      </c>
      <c r="G113" s="1" t="s">
        <v>446</v>
      </c>
      <c r="J113" s="3">
        <f t="shared" si="2"/>
        <v>0</v>
      </c>
      <c r="K113" s="1" t="str">
        <f t="shared" si="3"/>
        <v>$0.05-$0.5</v>
      </c>
    </row>
    <row r="114" spans="1:11">
      <c r="A114" s="1" t="s">
        <v>447</v>
      </c>
      <c r="B114" s="1" t="s">
        <v>448</v>
      </c>
      <c r="C114" s="34">
        <v>1.8810000000000001E-3</v>
      </c>
      <c r="D114" s="3">
        <v>1.1999999999999999E-3</v>
      </c>
      <c r="E114" s="1" t="s">
        <v>449</v>
      </c>
      <c r="F114" s="29">
        <v>7687892</v>
      </c>
      <c r="G114" s="1" t="s">
        <v>450</v>
      </c>
      <c r="J114" s="3">
        <f t="shared" si="2"/>
        <v>1.1999999999999999E-3</v>
      </c>
      <c r="K114" s="1" t="str">
        <f t="shared" si="3"/>
        <v>$0-$0.05</v>
      </c>
    </row>
    <row r="115" spans="1:11">
      <c r="A115" s="1" t="s">
        <v>451</v>
      </c>
      <c r="B115" s="1" t="s">
        <v>452</v>
      </c>
      <c r="C115" s="34">
        <v>9.0589999999999993E-3</v>
      </c>
      <c r="D115" s="3">
        <v>8.8000000000000005E-3</v>
      </c>
      <c r="E115" s="1" t="s">
        <v>444</v>
      </c>
      <c r="F115" s="29">
        <v>75137</v>
      </c>
      <c r="G115" s="1" t="s">
        <v>453</v>
      </c>
      <c r="J115" s="3">
        <f t="shared" si="2"/>
        <v>8.8000000000000005E-3</v>
      </c>
      <c r="K115" s="1" t="str">
        <f t="shared" si="3"/>
        <v>$0-$0.05</v>
      </c>
    </row>
    <row r="116" spans="1:11">
      <c r="A116" s="1" t="s">
        <v>454</v>
      </c>
      <c r="B116" s="1" t="s">
        <v>37</v>
      </c>
      <c r="C116" s="34">
        <v>9.443E-3</v>
      </c>
      <c r="D116" s="3">
        <v>1.3899999999999999E-2</v>
      </c>
      <c r="E116" s="1" t="s">
        <v>455</v>
      </c>
      <c r="F116" s="29">
        <v>1315522</v>
      </c>
      <c r="G116" s="1" t="s">
        <v>456</v>
      </c>
      <c r="J116" s="3">
        <f t="shared" si="2"/>
        <v>1.3899999999999999E-2</v>
      </c>
      <c r="K116" s="1" t="str">
        <f t="shared" si="3"/>
        <v>$0-$0.05</v>
      </c>
    </row>
    <row r="117" spans="1:11">
      <c r="A117" s="1" t="s">
        <v>457</v>
      </c>
      <c r="B117" s="1" t="s">
        <v>458</v>
      </c>
      <c r="C117" s="34">
        <v>9.0810000000000005E-3</v>
      </c>
      <c r="D117" s="3">
        <v>1.26E-2</v>
      </c>
      <c r="E117" s="1" t="s">
        <v>459</v>
      </c>
      <c r="F117" s="29">
        <v>8504736</v>
      </c>
      <c r="G117" s="1" t="s">
        <v>460</v>
      </c>
      <c r="J117" s="3">
        <f t="shared" si="2"/>
        <v>1.26E-2</v>
      </c>
      <c r="K117" s="1" t="str">
        <f t="shared" si="3"/>
        <v>$0-$0.05</v>
      </c>
    </row>
    <row r="118" spans="1:11">
      <c r="A118" s="1" t="s">
        <v>461</v>
      </c>
      <c r="B118" s="1" t="s">
        <v>462</v>
      </c>
      <c r="C118" s="34">
        <v>9.4009999999999996E-3</v>
      </c>
      <c r="D118" s="3">
        <v>1.7999999999999999E-2</v>
      </c>
      <c r="E118" s="1" t="s">
        <v>463</v>
      </c>
      <c r="F118" s="29">
        <v>232710</v>
      </c>
      <c r="G118" s="1" t="s">
        <v>464</v>
      </c>
      <c r="J118" s="3">
        <f t="shared" si="2"/>
        <v>1.7999999999999999E-2</v>
      </c>
      <c r="K118" s="1" t="str">
        <f t="shared" si="3"/>
        <v>$0-$0.05</v>
      </c>
    </row>
    <row r="119" spans="1:11">
      <c r="A119" s="1" t="s">
        <v>465</v>
      </c>
      <c r="B119" s="1" t="s">
        <v>466</v>
      </c>
      <c r="C119" s="34">
        <v>1.413E-2</v>
      </c>
      <c r="D119" s="3">
        <v>4.4999999999999997E-3</v>
      </c>
      <c r="E119" s="1" t="s">
        <v>459</v>
      </c>
      <c r="F119" s="29">
        <v>351905</v>
      </c>
      <c r="G119" s="1" t="s">
        <v>467</v>
      </c>
      <c r="J119" s="3">
        <f t="shared" si="2"/>
        <v>4.4999999999999997E-3</v>
      </c>
      <c r="K119" s="1" t="str">
        <f t="shared" si="3"/>
        <v>$0-$0.05</v>
      </c>
    </row>
    <row r="120" spans="1:11">
      <c r="A120" s="1" t="s">
        <v>468</v>
      </c>
      <c r="B120" s="1" t="s">
        <v>469</v>
      </c>
      <c r="C120" s="34">
        <v>1.661E-2</v>
      </c>
      <c r="D120" s="3">
        <v>2.18E-2</v>
      </c>
      <c r="E120" s="1" t="s">
        <v>470</v>
      </c>
      <c r="F120" s="29">
        <v>1959456</v>
      </c>
      <c r="G120" s="1" t="s">
        <v>471</v>
      </c>
      <c r="J120" s="3">
        <f t="shared" si="2"/>
        <v>2.18E-2</v>
      </c>
      <c r="K120" s="1" t="str">
        <f t="shared" si="3"/>
        <v>$0-$0.05</v>
      </c>
    </row>
    <row r="121" spans="1:11">
      <c r="A121" s="1" t="s">
        <v>472</v>
      </c>
      <c r="B121" s="1" t="s">
        <v>473</v>
      </c>
      <c r="C121" s="34">
        <v>9.2256000000000005E-2</v>
      </c>
      <c r="D121" s="3">
        <v>1.4200000000000001E-2</v>
      </c>
      <c r="E121" s="1" t="s">
        <v>470</v>
      </c>
      <c r="F121" s="29">
        <v>196385</v>
      </c>
      <c r="G121" s="1" t="s">
        <v>474</v>
      </c>
      <c r="J121" s="3">
        <f t="shared" si="2"/>
        <v>1.4200000000000001E-2</v>
      </c>
      <c r="K121" s="1" t="str">
        <f t="shared" si="3"/>
        <v>$0.05-$0.5</v>
      </c>
    </row>
    <row r="122" spans="1:11">
      <c r="A122" s="1" t="s">
        <v>475</v>
      </c>
      <c r="B122" s="1" t="s">
        <v>476</v>
      </c>
      <c r="C122" s="34">
        <v>1.69</v>
      </c>
      <c r="D122" s="3">
        <v>4.4999999999999997E-3</v>
      </c>
      <c r="E122" s="1" t="s">
        <v>477</v>
      </c>
      <c r="F122" s="1" t="s">
        <v>445</v>
      </c>
      <c r="G122" s="1" t="s">
        <v>478</v>
      </c>
      <c r="J122" s="3">
        <f t="shared" si="2"/>
        <v>4.4999999999999997E-3</v>
      </c>
      <c r="K122" s="1" t="str">
        <f t="shared" si="3"/>
        <v>$0.5-$5</v>
      </c>
    </row>
    <row r="123" spans="1:11">
      <c r="A123" s="1" t="s">
        <v>479</v>
      </c>
      <c r="B123" s="1" t="s">
        <v>479</v>
      </c>
      <c r="C123" s="34">
        <v>3.4939999999999999E-2</v>
      </c>
      <c r="D123" s="3">
        <v>1.09E-2</v>
      </c>
      <c r="E123" s="1" t="s">
        <v>477</v>
      </c>
      <c r="F123" s="29">
        <v>3410421</v>
      </c>
      <c r="G123" s="1" t="s">
        <v>480</v>
      </c>
      <c r="J123" s="3">
        <f t="shared" si="2"/>
        <v>1.09E-2</v>
      </c>
      <c r="K123" s="1" t="str">
        <f t="shared" si="3"/>
        <v>$0-$0.05</v>
      </c>
    </row>
    <row r="124" spans="1:11">
      <c r="A124" s="1" t="s">
        <v>481</v>
      </c>
      <c r="B124" s="1" t="s">
        <v>482</v>
      </c>
      <c r="C124" s="34">
        <v>4.7939999999999997E-3</v>
      </c>
      <c r="D124" s="3">
        <v>2.5000000000000001E-3</v>
      </c>
      <c r="E124" s="1" t="s">
        <v>483</v>
      </c>
      <c r="F124" s="29">
        <v>191443</v>
      </c>
      <c r="G124" s="1" t="s">
        <v>484</v>
      </c>
      <c r="J124" s="3">
        <f t="shared" si="2"/>
        <v>2.5000000000000001E-3</v>
      </c>
      <c r="K124" s="1" t="str">
        <f t="shared" si="3"/>
        <v>$0-$0.05</v>
      </c>
    </row>
    <row r="125" spans="1:11">
      <c r="A125" s="1" t="s">
        <v>485</v>
      </c>
      <c r="B125" s="1" t="s">
        <v>486</v>
      </c>
      <c r="C125" s="34">
        <v>1.839E-2</v>
      </c>
      <c r="D125" s="3">
        <v>5.3E-3</v>
      </c>
      <c r="E125" s="1" t="s">
        <v>487</v>
      </c>
      <c r="F125" s="29">
        <v>166190</v>
      </c>
      <c r="G125" s="1" t="s">
        <v>488</v>
      </c>
      <c r="J125" s="3">
        <f t="shared" si="2"/>
        <v>5.3E-3</v>
      </c>
      <c r="K125" s="1" t="str">
        <f t="shared" si="3"/>
        <v>$0-$0.05</v>
      </c>
    </row>
    <row r="126" spans="1:11">
      <c r="A126" s="1" t="s">
        <v>489</v>
      </c>
      <c r="B126" s="1" t="s">
        <v>490</v>
      </c>
      <c r="C126" s="34">
        <v>3.6720000000000003E-2</v>
      </c>
      <c r="D126" s="3">
        <v>4.0000000000000001E-3</v>
      </c>
      <c r="E126" s="1" t="s">
        <v>483</v>
      </c>
      <c r="F126" s="29">
        <v>43739</v>
      </c>
      <c r="G126" s="1" t="s">
        <v>491</v>
      </c>
      <c r="J126" s="3">
        <f t="shared" si="2"/>
        <v>4.0000000000000001E-3</v>
      </c>
      <c r="K126" s="1" t="str">
        <f t="shared" si="3"/>
        <v>$0-$0.05</v>
      </c>
    </row>
    <row r="127" spans="1:11">
      <c r="A127" s="1" t="s">
        <v>492</v>
      </c>
      <c r="B127" s="1" t="s">
        <v>493</v>
      </c>
      <c r="C127" s="34">
        <v>7.7879999999999998E-3</v>
      </c>
      <c r="D127" s="3">
        <v>1.4200000000000001E-2</v>
      </c>
      <c r="E127" s="1" t="s">
        <v>483</v>
      </c>
      <c r="F127" s="29">
        <v>2191863</v>
      </c>
      <c r="G127" s="1" t="s">
        <v>494</v>
      </c>
      <c r="J127" s="3">
        <f t="shared" si="2"/>
        <v>1.4200000000000001E-2</v>
      </c>
      <c r="K127" s="1" t="str">
        <f t="shared" si="3"/>
        <v>$0-$0.05</v>
      </c>
    </row>
    <row r="128" spans="1:11">
      <c r="A128" s="1" t="s">
        <v>495</v>
      </c>
      <c r="B128" s="1" t="s">
        <v>496</v>
      </c>
      <c r="C128" s="34">
        <v>1.508E-2</v>
      </c>
      <c r="D128" s="3">
        <v>7.0000000000000001E-3</v>
      </c>
      <c r="E128" s="1" t="s">
        <v>497</v>
      </c>
      <c r="F128" s="29">
        <v>495661</v>
      </c>
      <c r="G128" s="1" t="s">
        <v>498</v>
      </c>
      <c r="J128" s="3">
        <f t="shared" si="2"/>
        <v>7.0000000000000001E-3</v>
      </c>
      <c r="K128" s="1" t="str">
        <f t="shared" si="3"/>
        <v>$0-$0.05</v>
      </c>
    </row>
    <row r="129" spans="1:11">
      <c r="A129" s="1" t="s">
        <v>499</v>
      </c>
      <c r="B129" s="1" t="s">
        <v>500</v>
      </c>
      <c r="C129" s="34">
        <v>2.5340000000000001E-2</v>
      </c>
      <c r="D129" s="3">
        <v>0</v>
      </c>
      <c r="E129" s="1" t="s">
        <v>501</v>
      </c>
      <c r="F129" s="1" t="s">
        <v>445</v>
      </c>
      <c r="G129" s="1" t="s">
        <v>502</v>
      </c>
      <c r="J129" s="3">
        <f t="shared" si="2"/>
        <v>0</v>
      </c>
      <c r="K129" s="1" t="str">
        <f t="shared" si="3"/>
        <v>$0-$0.05</v>
      </c>
    </row>
    <row r="130" spans="1:11">
      <c r="A130" s="1" t="s">
        <v>503</v>
      </c>
      <c r="B130" s="1" t="s">
        <v>504</v>
      </c>
      <c r="C130" s="34">
        <v>0.33090000000000003</v>
      </c>
      <c r="D130" s="3">
        <v>1.5E-3</v>
      </c>
      <c r="E130" s="1" t="s">
        <v>505</v>
      </c>
      <c r="F130" s="29">
        <v>721629</v>
      </c>
      <c r="G130" s="1" t="s">
        <v>506</v>
      </c>
      <c r="J130" s="3">
        <f t="shared" si="2"/>
        <v>1.5E-3</v>
      </c>
      <c r="K130" s="1" t="str">
        <f t="shared" si="3"/>
        <v>$0.05-$0.5</v>
      </c>
    </row>
    <row r="131" spans="1:11">
      <c r="A131" s="1" t="s">
        <v>507</v>
      </c>
      <c r="B131" s="1" t="s">
        <v>508</v>
      </c>
      <c r="C131" s="34">
        <v>3.9579999999999997E-2</v>
      </c>
      <c r="D131" s="3">
        <v>1.9699999999999999E-2</v>
      </c>
      <c r="E131" s="1" t="s">
        <v>509</v>
      </c>
      <c r="F131" s="29">
        <v>2431321</v>
      </c>
      <c r="G131" s="1" t="s">
        <v>510</v>
      </c>
      <c r="J131" s="3">
        <f t="shared" ref="J131:J194" si="4">IFERROR(AVERAGE(D131,H131,I131),"")</f>
        <v>1.9699999999999999E-2</v>
      </c>
      <c r="K131" s="1" t="str">
        <f t="shared" ref="K131:K194" si="5">IF(C131&lt;=0.05,"$0-$0.05",IF(C131&lt;=0.5,"$0.05-$0.5",IF(C131&lt;=5,"$0.5-$5",IF(C131&lt;=50,"$5-$50","&gt;$50"))))</f>
        <v>$0-$0.05</v>
      </c>
    </row>
    <row r="132" spans="1:11">
      <c r="A132" s="1" t="s">
        <v>511</v>
      </c>
      <c r="B132" s="1" t="s">
        <v>512</v>
      </c>
      <c r="C132" s="34">
        <v>5.5209999999999999E-3</v>
      </c>
      <c r="D132" s="3">
        <v>1.26E-2</v>
      </c>
      <c r="E132" s="1" t="s">
        <v>513</v>
      </c>
      <c r="F132" s="29">
        <v>973654</v>
      </c>
      <c r="G132" s="1" t="s">
        <v>514</v>
      </c>
      <c r="J132" s="3">
        <f t="shared" si="4"/>
        <v>1.26E-2</v>
      </c>
      <c r="K132" s="1" t="str">
        <f t="shared" si="5"/>
        <v>$0-$0.05</v>
      </c>
    </row>
    <row r="133" spans="1:11">
      <c r="A133" s="1" t="s">
        <v>515</v>
      </c>
      <c r="B133" s="1" t="s">
        <v>516</v>
      </c>
      <c r="C133" s="34">
        <v>9.0029999999999999E-2</v>
      </c>
      <c r="D133" s="3">
        <v>2.2000000000000001E-3</v>
      </c>
      <c r="E133" s="1" t="s">
        <v>517</v>
      </c>
      <c r="F133" s="29">
        <v>955799</v>
      </c>
      <c r="G133" s="1" t="s">
        <v>518</v>
      </c>
      <c r="J133" s="3">
        <f t="shared" si="4"/>
        <v>2.2000000000000001E-3</v>
      </c>
      <c r="K133" s="1" t="str">
        <f t="shared" si="5"/>
        <v>$0.05-$0.5</v>
      </c>
    </row>
    <row r="134" spans="1:11">
      <c r="A134" s="1" t="s">
        <v>519</v>
      </c>
      <c r="B134" s="1" t="s">
        <v>520</v>
      </c>
      <c r="C134" s="34">
        <v>5.4479999999999997E-3</v>
      </c>
      <c r="D134" s="3">
        <v>0</v>
      </c>
      <c r="E134" s="1" t="s">
        <v>521</v>
      </c>
      <c r="F134" s="29">
        <v>1056108</v>
      </c>
      <c r="G134" s="1" t="s">
        <v>522</v>
      </c>
      <c r="J134" s="3">
        <f t="shared" si="4"/>
        <v>0</v>
      </c>
      <c r="K134" s="1" t="str">
        <f t="shared" si="5"/>
        <v>$0-$0.05</v>
      </c>
    </row>
    <row r="135" spans="1:11">
      <c r="A135" s="1" t="s">
        <v>523</v>
      </c>
      <c r="B135" s="1" t="s">
        <v>524</v>
      </c>
      <c r="C135" s="34">
        <v>2.954E-2</v>
      </c>
      <c r="D135" s="3">
        <v>2.2000000000000001E-3</v>
      </c>
      <c r="E135" s="1" t="s">
        <v>525</v>
      </c>
      <c r="F135" s="29">
        <v>153889</v>
      </c>
      <c r="G135" s="1" t="s">
        <v>526</v>
      </c>
      <c r="J135" s="3">
        <f t="shared" si="4"/>
        <v>2.2000000000000001E-3</v>
      </c>
      <c r="K135" s="1" t="str">
        <f t="shared" si="5"/>
        <v>$0-$0.05</v>
      </c>
    </row>
    <row r="136" spans="1:11">
      <c r="A136" s="1" t="s">
        <v>527</v>
      </c>
      <c r="B136" s="1" t="s">
        <v>528</v>
      </c>
      <c r="C136" s="34">
        <v>2.2859999999999998E-3</v>
      </c>
      <c r="D136" s="3">
        <v>3.5000000000000001E-3</v>
      </c>
      <c r="E136" s="1" t="s">
        <v>529</v>
      </c>
      <c r="F136" s="29">
        <v>130770</v>
      </c>
      <c r="G136" s="1" t="s">
        <v>530</v>
      </c>
      <c r="J136" s="3">
        <f t="shared" si="4"/>
        <v>3.5000000000000001E-3</v>
      </c>
      <c r="K136" s="1" t="str">
        <f t="shared" si="5"/>
        <v>$0-$0.05</v>
      </c>
    </row>
    <row r="137" spans="1:11">
      <c r="A137" s="1" t="s">
        <v>531</v>
      </c>
      <c r="B137" s="1" t="s">
        <v>532</v>
      </c>
      <c r="C137" s="34">
        <v>1.011E-3</v>
      </c>
      <c r="D137" s="3">
        <v>2E-3</v>
      </c>
      <c r="E137" s="1" t="s">
        <v>533</v>
      </c>
      <c r="F137" s="29">
        <v>432080</v>
      </c>
      <c r="G137" s="1" t="s">
        <v>534</v>
      </c>
      <c r="J137" s="3">
        <f t="shared" si="4"/>
        <v>2E-3</v>
      </c>
      <c r="K137" s="1" t="str">
        <f t="shared" si="5"/>
        <v>$0-$0.05</v>
      </c>
    </row>
    <row r="138" spans="1:11">
      <c r="A138" s="1" t="s">
        <v>535</v>
      </c>
      <c r="B138" s="1" t="s">
        <v>536</v>
      </c>
      <c r="C138" s="34">
        <v>0.53059999999999996</v>
      </c>
      <c r="D138" s="3">
        <v>5.9999999999999995E-4</v>
      </c>
      <c r="E138" s="1" t="s">
        <v>533</v>
      </c>
      <c r="F138" s="29">
        <v>697351</v>
      </c>
      <c r="G138" s="1" t="s">
        <v>537</v>
      </c>
      <c r="J138" s="3">
        <f t="shared" si="4"/>
        <v>5.9999999999999995E-4</v>
      </c>
      <c r="K138" s="1" t="str">
        <f t="shared" si="5"/>
        <v>$0.5-$5</v>
      </c>
    </row>
    <row r="139" spans="1:11">
      <c r="A139" s="1" t="s">
        <v>538</v>
      </c>
      <c r="B139" s="1" t="s">
        <v>539</v>
      </c>
      <c r="C139" s="34">
        <v>5.1869999999999998E-3</v>
      </c>
      <c r="D139" s="3">
        <v>3.7000000000000002E-3</v>
      </c>
      <c r="E139" s="1" t="s">
        <v>540</v>
      </c>
      <c r="F139" s="29">
        <v>17403</v>
      </c>
      <c r="G139" s="1" t="s">
        <v>541</v>
      </c>
      <c r="J139" s="3">
        <f t="shared" si="4"/>
        <v>3.7000000000000002E-3</v>
      </c>
      <c r="K139" s="1" t="str">
        <f t="shared" si="5"/>
        <v>$0-$0.05</v>
      </c>
    </row>
    <row r="140" spans="1:11">
      <c r="A140" s="1" t="s">
        <v>542</v>
      </c>
      <c r="B140" s="1" t="s">
        <v>543</v>
      </c>
      <c r="C140" s="34">
        <v>1.885E-3</v>
      </c>
      <c r="D140" s="3">
        <v>1E-4</v>
      </c>
      <c r="E140" s="1" t="s">
        <v>540</v>
      </c>
      <c r="F140" s="29">
        <v>392111</v>
      </c>
      <c r="G140" s="1" t="s">
        <v>544</v>
      </c>
      <c r="J140" s="3">
        <f t="shared" si="4"/>
        <v>1E-4</v>
      </c>
      <c r="K140" s="1" t="str">
        <f t="shared" si="5"/>
        <v>$0-$0.05</v>
      </c>
    </row>
    <row r="141" spans="1:11">
      <c r="A141" s="1" t="s">
        <v>545</v>
      </c>
      <c r="B141" s="1" t="s">
        <v>546</v>
      </c>
      <c r="C141" s="34">
        <v>4.9799999999999997E-2</v>
      </c>
      <c r="D141" s="3">
        <v>6.1999999999999998E-3</v>
      </c>
      <c r="E141" s="1" t="s">
        <v>547</v>
      </c>
      <c r="F141" s="29">
        <v>75107</v>
      </c>
      <c r="G141" s="1" t="s">
        <v>548</v>
      </c>
      <c r="J141" s="3">
        <f t="shared" si="4"/>
        <v>6.1999999999999998E-3</v>
      </c>
      <c r="K141" s="1" t="str">
        <f t="shared" si="5"/>
        <v>$0-$0.05</v>
      </c>
    </row>
    <row r="142" spans="1:11">
      <c r="A142" s="1" t="s">
        <v>549</v>
      </c>
      <c r="B142" s="1" t="s">
        <v>550</v>
      </c>
      <c r="C142" s="34">
        <v>2.2479999999999999E-4</v>
      </c>
      <c r="D142" s="3">
        <v>1.5E-3</v>
      </c>
      <c r="E142" s="1" t="s">
        <v>551</v>
      </c>
      <c r="F142" s="29">
        <v>193524</v>
      </c>
      <c r="G142" s="1" t="s">
        <v>552</v>
      </c>
      <c r="J142" s="3">
        <f t="shared" si="4"/>
        <v>1.5E-3</v>
      </c>
      <c r="K142" s="1" t="str">
        <f t="shared" si="5"/>
        <v>$0-$0.05</v>
      </c>
    </row>
    <row r="143" spans="1:11">
      <c r="A143" s="1" t="s">
        <v>553</v>
      </c>
      <c r="B143" s="1" t="s">
        <v>554</v>
      </c>
      <c r="C143" s="34">
        <v>5.1470000000000002E-2</v>
      </c>
      <c r="D143" s="3">
        <v>4.6399999999999997E-2</v>
      </c>
      <c r="E143" s="1" t="s">
        <v>555</v>
      </c>
      <c r="F143" s="29">
        <v>168650</v>
      </c>
      <c r="G143" s="1" t="s">
        <v>556</v>
      </c>
      <c r="J143" s="3">
        <f t="shared" si="4"/>
        <v>4.6399999999999997E-2</v>
      </c>
      <c r="K143" s="1" t="str">
        <f t="shared" si="5"/>
        <v>$0.05-$0.5</v>
      </c>
    </row>
    <row r="144" spans="1:11">
      <c r="A144" s="1" t="s">
        <v>557</v>
      </c>
      <c r="B144" s="1" t="s">
        <v>558</v>
      </c>
      <c r="C144" s="34">
        <v>1.908E-2</v>
      </c>
      <c r="D144" s="3">
        <v>5.7000000000000002E-3</v>
      </c>
      <c r="E144" s="1" t="s">
        <v>559</v>
      </c>
      <c r="F144" s="29">
        <v>4760489</v>
      </c>
      <c r="G144" s="1" t="s">
        <v>560</v>
      </c>
      <c r="J144" s="3">
        <f t="shared" si="4"/>
        <v>5.7000000000000002E-3</v>
      </c>
      <c r="K144" s="1" t="str">
        <f t="shared" si="5"/>
        <v>$0-$0.05</v>
      </c>
    </row>
    <row r="145" spans="1:11">
      <c r="A145" s="1" t="s">
        <v>561</v>
      </c>
      <c r="B145" s="1" t="s">
        <v>562</v>
      </c>
      <c r="C145" s="34">
        <v>1.9529999999999999E-2</v>
      </c>
      <c r="D145" s="3">
        <v>2.9999999999999997E-4</v>
      </c>
      <c r="E145" s="1" t="s">
        <v>563</v>
      </c>
      <c r="F145" s="29">
        <v>4951893</v>
      </c>
      <c r="G145" s="1" t="s">
        <v>564</v>
      </c>
      <c r="J145" s="3">
        <f t="shared" si="4"/>
        <v>2.9999999999999997E-4</v>
      </c>
      <c r="K145" s="1" t="str">
        <f t="shared" si="5"/>
        <v>$0-$0.05</v>
      </c>
    </row>
    <row r="146" spans="1:11">
      <c r="A146" s="1" t="s">
        <v>565</v>
      </c>
      <c r="B146" s="1" t="s">
        <v>565</v>
      </c>
      <c r="C146" s="34">
        <v>5.3982000000000002E-2</v>
      </c>
      <c r="D146" s="3">
        <v>1.04E-2</v>
      </c>
      <c r="E146" s="1" t="s">
        <v>566</v>
      </c>
      <c r="F146" s="29">
        <v>727913</v>
      </c>
      <c r="G146" s="1" t="s">
        <v>567</v>
      </c>
      <c r="J146" s="3">
        <f t="shared" si="4"/>
        <v>1.04E-2</v>
      </c>
      <c r="K146" s="1" t="str">
        <f t="shared" si="5"/>
        <v>$0.05-$0.5</v>
      </c>
    </row>
    <row r="147" spans="1:11">
      <c r="A147" s="1" t="s">
        <v>568</v>
      </c>
      <c r="B147" s="1" t="s">
        <v>569</v>
      </c>
      <c r="C147" s="34">
        <v>2.34</v>
      </c>
      <c r="D147" s="3">
        <v>1.1999999999999999E-3</v>
      </c>
      <c r="E147" s="1" t="s">
        <v>570</v>
      </c>
      <c r="F147" s="29">
        <v>49144</v>
      </c>
      <c r="G147" s="1" t="s">
        <v>571</v>
      </c>
      <c r="J147" s="3">
        <f t="shared" si="4"/>
        <v>1.1999999999999999E-3</v>
      </c>
      <c r="K147" s="1" t="str">
        <f t="shared" si="5"/>
        <v>$0.5-$5</v>
      </c>
    </row>
    <row r="148" spans="1:11">
      <c r="A148" s="1" t="s">
        <v>572</v>
      </c>
      <c r="B148" s="1" t="s">
        <v>573</v>
      </c>
      <c r="C148" s="34">
        <v>3.3210000000000003E-2</v>
      </c>
      <c r="D148" s="3">
        <v>8.9999999999999993E-3</v>
      </c>
      <c r="E148" s="1" t="s">
        <v>574</v>
      </c>
      <c r="F148" s="29">
        <v>14376</v>
      </c>
      <c r="G148" s="1" t="s">
        <v>575</v>
      </c>
      <c r="J148" s="3">
        <f t="shared" si="4"/>
        <v>8.9999999999999993E-3</v>
      </c>
      <c r="K148" s="1" t="str">
        <f t="shared" si="5"/>
        <v>$0-$0.05</v>
      </c>
    </row>
    <row r="149" spans="1:11">
      <c r="A149" s="1" t="s">
        <v>576</v>
      </c>
      <c r="B149" s="1" t="s">
        <v>577</v>
      </c>
      <c r="C149" s="34">
        <v>2.1639999999999999E-5</v>
      </c>
      <c r="D149" s="3">
        <v>1E-3</v>
      </c>
      <c r="E149" s="1" t="s">
        <v>566</v>
      </c>
      <c r="F149" s="29">
        <v>658</v>
      </c>
      <c r="G149" s="1" t="s">
        <v>578</v>
      </c>
      <c r="J149" s="3">
        <f t="shared" si="4"/>
        <v>1E-3</v>
      </c>
      <c r="K149" s="1" t="str">
        <f t="shared" si="5"/>
        <v>$0-$0.05</v>
      </c>
    </row>
    <row r="150" spans="1:11">
      <c r="A150" s="1" t="s">
        <v>579</v>
      </c>
      <c r="B150" s="1" t="s">
        <v>580</v>
      </c>
      <c r="C150" s="34">
        <v>8.2830000000000001E-2</v>
      </c>
      <c r="D150" s="3">
        <v>1.72E-2</v>
      </c>
      <c r="E150" s="1" t="s">
        <v>581</v>
      </c>
      <c r="F150" s="29">
        <v>5822</v>
      </c>
      <c r="G150" s="1" t="s">
        <v>582</v>
      </c>
      <c r="J150" s="3">
        <f t="shared" si="4"/>
        <v>1.72E-2</v>
      </c>
      <c r="K150" s="1" t="str">
        <f t="shared" si="5"/>
        <v>$0.05-$0.5</v>
      </c>
    </row>
    <row r="151" spans="1:11">
      <c r="A151" s="1" t="s">
        <v>583</v>
      </c>
      <c r="B151" s="1" t="s">
        <v>583</v>
      </c>
      <c r="C151" s="34">
        <v>0.53049999999999997</v>
      </c>
      <c r="D151" s="3">
        <v>6.7999999999999996E-3</v>
      </c>
      <c r="E151" s="1" t="s">
        <v>584</v>
      </c>
      <c r="F151" s="29">
        <v>85411</v>
      </c>
      <c r="G151" s="1" t="s">
        <v>585</v>
      </c>
      <c r="J151" s="3">
        <f t="shared" si="4"/>
        <v>6.7999999999999996E-3</v>
      </c>
      <c r="K151" s="1" t="str">
        <f t="shared" si="5"/>
        <v>$0.5-$5</v>
      </c>
    </row>
    <row r="152" spans="1:11">
      <c r="A152" s="1" t="s">
        <v>586</v>
      </c>
      <c r="B152" s="1" t="s">
        <v>587</v>
      </c>
      <c r="C152" s="34">
        <v>8.4449999999999994E-3</v>
      </c>
      <c r="D152" s="3">
        <v>2.0000000000000001E-4</v>
      </c>
      <c r="E152" s="1" t="s">
        <v>588</v>
      </c>
      <c r="F152" s="29">
        <v>2100</v>
      </c>
      <c r="G152" s="1" t="s">
        <v>589</v>
      </c>
      <c r="J152" s="3">
        <f t="shared" si="4"/>
        <v>2.0000000000000001E-4</v>
      </c>
      <c r="K152" s="1" t="str">
        <f t="shared" si="5"/>
        <v>$0-$0.05</v>
      </c>
    </row>
    <row r="153" spans="1:11">
      <c r="A153" s="1" t="s">
        <v>590</v>
      </c>
      <c r="B153" s="1" t="s">
        <v>591</v>
      </c>
      <c r="C153" s="34">
        <v>2.8370000000000001E-5</v>
      </c>
      <c r="D153" s="3">
        <v>3.7000000000000002E-3</v>
      </c>
      <c r="E153" s="1" t="s">
        <v>588</v>
      </c>
      <c r="F153" s="29">
        <v>157680</v>
      </c>
      <c r="G153" s="1" t="s">
        <v>592</v>
      </c>
      <c r="J153" s="3">
        <f t="shared" si="4"/>
        <v>3.7000000000000002E-3</v>
      </c>
      <c r="K153" s="1" t="str">
        <f t="shared" si="5"/>
        <v>$0-$0.05</v>
      </c>
    </row>
    <row r="154" spans="1:11">
      <c r="A154" s="1" t="s">
        <v>593</v>
      </c>
      <c r="B154" s="1" t="s">
        <v>594</v>
      </c>
      <c r="C154" s="34">
        <v>8.03E-4</v>
      </c>
      <c r="D154" s="3">
        <v>2.0000000000000001E-4</v>
      </c>
      <c r="E154" s="1" t="s">
        <v>588</v>
      </c>
      <c r="F154" s="29">
        <v>72433</v>
      </c>
      <c r="G154" s="1" t="s">
        <v>595</v>
      </c>
      <c r="J154" s="3">
        <f t="shared" si="4"/>
        <v>2.0000000000000001E-4</v>
      </c>
      <c r="K154" s="1" t="str">
        <f t="shared" si="5"/>
        <v>$0-$0.05</v>
      </c>
    </row>
    <row r="155" spans="1:11">
      <c r="A155" s="1" t="s">
        <v>596</v>
      </c>
      <c r="B155" s="1" t="s">
        <v>597</v>
      </c>
      <c r="C155" s="34">
        <v>1.094E-2</v>
      </c>
      <c r="D155" s="3">
        <v>1.18E-2</v>
      </c>
      <c r="E155" s="1" t="s">
        <v>598</v>
      </c>
      <c r="F155" s="29">
        <v>117948</v>
      </c>
      <c r="G155" s="1" t="s">
        <v>599</v>
      </c>
      <c r="J155" s="3">
        <f t="shared" si="4"/>
        <v>1.18E-2</v>
      </c>
      <c r="K155" s="1" t="str">
        <f t="shared" si="5"/>
        <v>$0-$0.05</v>
      </c>
    </row>
    <row r="156" spans="1:11">
      <c r="A156" s="1" t="s">
        <v>600</v>
      </c>
      <c r="B156" s="1" t="s">
        <v>601</v>
      </c>
      <c r="C156" s="34">
        <v>0.17610000000000001</v>
      </c>
      <c r="D156" s="3">
        <v>3.3399999999999999E-2</v>
      </c>
      <c r="E156" s="1" t="s">
        <v>588</v>
      </c>
      <c r="F156" s="29">
        <v>1614</v>
      </c>
      <c r="G156" s="1" t="s">
        <v>602</v>
      </c>
      <c r="J156" s="3">
        <f t="shared" si="4"/>
        <v>3.3399999999999999E-2</v>
      </c>
      <c r="K156" s="1" t="str">
        <f t="shared" si="5"/>
        <v>$0.05-$0.5</v>
      </c>
    </row>
    <row r="157" spans="1:11">
      <c r="A157" s="1" t="s">
        <v>603</v>
      </c>
      <c r="B157" s="1" t="s">
        <v>604</v>
      </c>
      <c r="C157" s="34">
        <v>1.286E-2</v>
      </c>
      <c r="D157" s="3">
        <v>2.0000000000000001E-4</v>
      </c>
      <c r="E157" s="1" t="s">
        <v>588</v>
      </c>
      <c r="F157" s="29">
        <v>1659</v>
      </c>
      <c r="G157" s="1" t="s">
        <v>605</v>
      </c>
      <c r="J157" s="3">
        <f t="shared" si="4"/>
        <v>2.0000000000000001E-4</v>
      </c>
      <c r="K157" s="1" t="str">
        <f t="shared" si="5"/>
        <v>$0-$0.05</v>
      </c>
    </row>
    <row r="158" spans="1:11">
      <c r="A158" s="1" t="s">
        <v>606</v>
      </c>
      <c r="B158" s="1" t="s">
        <v>607</v>
      </c>
      <c r="C158" s="34">
        <v>7.7060000000000002E-3</v>
      </c>
      <c r="D158" s="3">
        <v>8.9999999999999998E-4</v>
      </c>
      <c r="E158" s="1" t="s">
        <v>608</v>
      </c>
      <c r="F158" s="29">
        <v>220065</v>
      </c>
      <c r="G158" s="1" t="s">
        <v>609</v>
      </c>
      <c r="J158" s="3">
        <f t="shared" si="4"/>
        <v>8.9999999999999998E-4</v>
      </c>
      <c r="K158" s="1" t="str">
        <f t="shared" si="5"/>
        <v>$0-$0.05</v>
      </c>
    </row>
    <row r="159" spans="1:11">
      <c r="A159" s="1" t="s">
        <v>610</v>
      </c>
      <c r="B159" s="1" t="s">
        <v>611</v>
      </c>
      <c r="C159" s="34">
        <v>1.06E-2</v>
      </c>
      <c r="D159" s="3">
        <v>1.61E-2</v>
      </c>
      <c r="E159" s="1" t="s">
        <v>608</v>
      </c>
      <c r="F159" s="29">
        <v>155287</v>
      </c>
      <c r="G159" s="1" t="s">
        <v>612</v>
      </c>
      <c r="J159" s="3">
        <f t="shared" si="4"/>
        <v>1.61E-2</v>
      </c>
      <c r="K159" s="1" t="str">
        <f t="shared" si="5"/>
        <v>$0-$0.05</v>
      </c>
    </row>
    <row r="160" spans="1:11">
      <c r="A160" s="1" t="s">
        <v>613</v>
      </c>
      <c r="B160" s="1" t="s">
        <v>614</v>
      </c>
      <c r="C160" s="34">
        <v>7.4697E-2</v>
      </c>
      <c r="D160" s="3">
        <v>1.1000000000000001E-3</v>
      </c>
      <c r="E160" s="1" t="s">
        <v>615</v>
      </c>
      <c r="F160" s="29">
        <v>239395</v>
      </c>
      <c r="G160" s="1" t="s">
        <v>616</v>
      </c>
      <c r="J160" s="3">
        <f t="shared" si="4"/>
        <v>1.1000000000000001E-3</v>
      </c>
      <c r="K160" s="1" t="str">
        <f t="shared" si="5"/>
        <v>$0.05-$0.5</v>
      </c>
    </row>
    <row r="161" spans="1:11">
      <c r="A161" s="1" t="s">
        <v>617</v>
      </c>
      <c r="B161" s="1" t="s">
        <v>618</v>
      </c>
      <c r="C161" s="34">
        <v>6.9080000000000001E-3</v>
      </c>
      <c r="D161" s="3">
        <v>1.1999999999999999E-3</v>
      </c>
      <c r="E161" s="1" t="s">
        <v>619</v>
      </c>
      <c r="F161" s="29">
        <v>977333</v>
      </c>
      <c r="G161" s="1" t="s">
        <v>620</v>
      </c>
      <c r="J161" s="3">
        <f t="shared" si="4"/>
        <v>1.1999999999999999E-3</v>
      </c>
      <c r="K161" s="1" t="str">
        <f t="shared" si="5"/>
        <v>$0-$0.05</v>
      </c>
    </row>
    <row r="162" spans="1:11">
      <c r="A162" s="1" t="s">
        <v>621</v>
      </c>
      <c r="B162" s="1" t="s">
        <v>622</v>
      </c>
      <c r="C162" s="34">
        <v>2.632E-2</v>
      </c>
      <c r="D162" s="3">
        <v>2.6700000000000002E-2</v>
      </c>
      <c r="E162" s="1" t="s">
        <v>623</v>
      </c>
      <c r="F162" s="29">
        <v>721481</v>
      </c>
      <c r="G162" s="1" t="s">
        <v>624</v>
      </c>
      <c r="J162" s="3">
        <f t="shared" si="4"/>
        <v>2.6700000000000002E-2</v>
      </c>
      <c r="K162" s="1" t="str">
        <f t="shared" si="5"/>
        <v>$0-$0.05</v>
      </c>
    </row>
    <row r="163" spans="1:11">
      <c r="A163" s="1" t="s">
        <v>625</v>
      </c>
      <c r="B163" s="1" t="s">
        <v>626</v>
      </c>
      <c r="C163" s="34">
        <v>4.2319999999999999E-4</v>
      </c>
      <c r="D163" s="3">
        <v>9.7000000000000003E-3</v>
      </c>
      <c r="E163" s="1" t="s">
        <v>623</v>
      </c>
      <c r="F163" s="29">
        <v>1422530</v>
      </c>
      <c r="G163" s="1" t="s">
        <v>627</v>
      </c>
      <c r="J163" s="3">
        <f t="shared" si="4"/>
        <v>9.7000000000000003E-3</v>
      </c>
      <c r="K163" s="1" t="str">
        <f t="shared" si="5"/>
        <v>$0-$0.05</v>
      </c>
    </row>
    <row r="164" spans="1:11">
      <c r="A164" s="1" t="s">
        <v>628</v>
      </c>
      <c r="B164" s="1" t="s">
        <v>629</v>
      </c>
      <c r="C164" s="34">
        <v>8.6726999999999999E-2</v>
      </c>
      <c r="D164" s="3">
        <v>0</v>
      </c>
      <c r="E164" s="1" t="s">
        <v>630</v>
      </c>
      <c r="F164" s="1" t="s">
        <v>445</v>
      </c>
      <c r="G164" s="1" t="s">
        <v>631</v>
      </c>
      <c r="J164" s="3">
        <f t="shared" si="4"/>
        <v>0</v>
      </c>
      <c r="K164" s="1" t="str">
        <f t="shared" si="5"/>
        <v>$0.05-$0.5</v>
      </c>
    </row>
    <row r="165" spans="1:11">
      <c r="A165" s="1" t="s">
        <v>632</v>
      </c>
      <c r="B165" s="1" t="s">
        <v>632</v>
      </c>
      <c r="C165" s="34">
        <v>2.2959999999999999E-3</v>
      </c>
      <c r="D165" s="3">
        <v>1E-3</v>
      </c>
      <c r="E165" s="1" t="s">
        <v>630</v>
      </c>
      <c r="F165" s="29">
        <v>107281</v>
      </c>
      <c r="G165" s="1" t="s">
        <v>75</v>
      </c>
      <c r="J165" s="3">
        <f t="shared" si="4"/>
        <v>1E-3</v>
      </c>
      <c r="K165" s="1" t="str">
        <f t="shared" si="5"/>
        <v>$0-$0.05</v>
      </c>
    </row>
    <row r="166" spans="1:11">
      <c r="A166" s="1" t="s">
        <v>633</v>
      </c>
      <c r="B166" s="1" t="s">
        <v>634</v>
      </c>
      <c r="C166" s="34">
        <v>5.638E-2</v>
      </c>
      <c r="D166" s="3">
        <v>2.4799999999999999E-2</v>
      </c>
      <c r="E166" s="1" t="s">
        <v>635</v>
      </c>
      <c r="F166" s="29">
        <v>465</v>
      </c>
      <c r="G166" s="1" t="s">
        <v>636</v>
      </c>
      <c r="J166" s="3">
        <f t="shared" si="4"/>
        <v>2.4799999999999999E-2</v>
      </c>
      <c r="K166" s="1" t="str">
        <f t="shared" si="5"/>
        <v>$0.05-$0.5</v>
      </c>
    </row>
    <row r="167" spans="1:11">
      <c r="A167" s="1" t="s">
        <v>637</v>
      </c>
      <c r="B167" s="1" t="s">
        <v>638</v>
      </c>
      <c r="C167" s="34">
        <v>4.8439999999999997E-2</v>
      </c>
      <c r="D167" s="3">
        <v>1.1000000000000001E-3</v>
      </c>
      <c r="E167" s="1" t="s">
        <v>639</v>
      </c>
      <c r="F167" s="29">
        <v>174927</v>
      </c>
      <c r="G167" s="1" t="s">
        <v>640</v>
      </c>
      <c r="J167" s="3">
        <f t="shared" si="4"/>
        <v>1.1000000000000001E-3</v>
      </c>
      <c r="K167" s="1" t="str">
        <f t="shared" si="5"/>
        <v>$0-$0.05</v>
      </c>
    </row>
    <row r="168" spans="1:11">
      <c r="A168" s="1" t="s">
        <v>641</v>
      </c>
      <c r="B168" s="1" t="s">
        <v>642</v>
      </c>
      <c r="C168" s="34">
        <v>5.2623999999999997E-2</v>
      </c>
      <c r="D168" s="3">
        <v>4.0000000000000002E-4</v>
      </c>
      <c r="E168" s="1" t="s">
        <v>643</v>
      </c>
      <c r="F168" s="29">
        <v>287</v>
      </c>
      <c r="G168" s="1" t="s">
        <v>644</v>
      </c>
      <c r="J168" s="3">
        <f t="shared" si="4"/>
        <v>4.0000000000000002E-4</v>
      </c>
      <c r="K168" s="1" t="str">
        <f t="shared" si="5"/>
        <v>$0.05-$0.5</v>
      </c>
    </row>
    <row r="169" spans="1:11">
      <c r="A169" s="1" t="s">
        <v>645</v>
      </c>
      <c r="B169" s="1" t="s">
        <v>646</v>
      </c>
      <c r="C169" s="34">
        <v>2.5270000000000002E-3</v>
      </c>
      <c r="D169" s="3">
        <v>5.8999999999999999E-3</v>
      </c>
      <c r="E169" s="1" t="s">
        <v>643</v>
      </c>
      <c r="F169" s="29">
        <v>274603</v>
      </c>
      <c r="G169" s="1" t="s">
        <v>59</v>
      </c>
      <c r="J169" s="3">
        <f t="shared" si="4"/>
        <v>5.8999999999999999E-3</v>
      </c>
      <c r="K169" s="1" t="str">
        <f t="shared" si="5"/>
        <v>$0-$0.05</v>
      </c>
    </row>
    <row r="170" spans="1:11">
      <c r="A170" s="1" t="s">
        <v>647</v>
      </c>
      <c r="B170" s="1" t="s">
        <v>648</v>
      </c>
      <c r="C170" s="34">
        <v>2.283E-2</v>
      </c>
      <c r="D170" s="3">
        <v>3.2000000000000002E-3</v>
      </c>
      <c r="E170" s="1" t="s">
        <v>649</v>
      </c>
      <c r="F170" s="29">
        <v>69191</v>
      </c>
      <c r="G170" s="1" t="s">
        <v>650</v>
      </c>
      <c r="J170" s="3">
        <f t="shared" si="4"/>
        <v>3.2000000000000002E-3</v>
      </c>
      <c r="K170" s="1" t="str">
        <f t="shared" si="5"/>
        <v>$0-$0.05</v>
      </c>
    </row>
    <row r="171" spans="1:11">
      <c r="A171" s="1" t="s">
        <v>651</v>
      </c>
      <c r="B171" s="1" t="s">
        <v>651</v>
      </c>
      <c r="C171" s="34">
        <v>2.6020000000000001E-3</v>
      </c>
      <c r="D171" s="3">
        <v>8.0000000000000002E-3</v>
      </c>
      <c r="E171" s="1" t="s">
        <v>649</v>
      </c>
      <c r="F171" s="29">
        <v>34103</v>
      </c>
      <c r="G171" s="1" t="s">
        <v>652</v>
      </c>
      <c r="J171" s="3">
        <f t="shared" si="4"/>
        <v>8.0000000000000002E-3</v>
      </c>
      <c r="K171" s="1" t="str">
        <f t="shared" si="5"/>
        <v>$0-$0.05</v>
      </c>
    </row>
    <row r="172" spans="1:11">
      <c r="A172" s="1" t="s">
        <v>653</v>
      </c>
      <c r="B172" s="1" t="s">
        <v>653</v>
      </c>
      <c r="C172" s="34">
        <v>1.772E-2</v>
      </c>
      <c r="D172" s="3">
        <v>8.0999999999999996E-3</v>
      </c>
      <c r="E172" s="1" t="s">
        <v>654</v>
      </c>
      <c r="F172" s="29">
        <v>1983713</v>
      </c>
      <c r="G172" s="1" t="s">
        <v>655</v>
      </c>
      <c r="J172" s="3">
        <f t="shared" si="4"/>
        <v>8.0999999999999996E-3</v>
      </c>
      <c r="K172" s="1" t="str">
        <f t="shared" si="5"/>
        <v>$0-$0.05</v>
      </c>
    </row>
    <row r="173" spans="1:11">
      <c r="A173" s="1" t="s">
        <v>656</v>
      </c>
      <c r="B173" s="1" t="s">
        <v>657</v>
      </c>
      <c r="C173" s="34">
        <v>2.003E-3</v>
      </c>
      <c r="D173" s="3">
        <v>1.5800000000000002E-2</v>
      </c>
      <c r="E173" s="1" t="s">
        <v>654</v>
      </c>
      <c r="F173" s="29">
        <v>944920</v>
      </c>
      <c r="G173" s="1" t="s">
        <v>59</v>
      </c>
      <c r="J173" s="3">
        <f t="shared" si="4"/>
        <v>1.5800000000000002E-2</v>
      </c>
      <c r="K173" s="1" t="str">
        <f t="shared" si="5"/>
        <v>$0-$0.05</v>
      </c>
    </row>
    <row r="174" spans="1:11">
      <c r="A174" s="1" t="s">
        <v>658</v>
      </c>
      <c r="B174" s="1" t="s">
        <v>659</v>
      </c>
      <c r="C174" s="34">
        <v>0.73839999999999995</v>
      </c>
      <c r="D174" s="3">
        <v>8.9999999999999998E-4</v>
      </c>
      <c r="E174" s="1" t="s">
        <v>660</v>
      </c>
      <c r="F174" s="1" t="s">
        <v>445</v>
      </c>
      <c r="G174" s="1" t="s">
        <v>661</v>
      </c>
      <c r="J174" s="3">
        <f t="shared" si="4"/>
        <v>8.9999999999999998E-4</v>
      </c>
      <c r="K174" s="1" t="str">
        <f t="shared" si="5"/>
        <v>$0.5-$5</v>
      </c>
    </row>
    <row r="175" spans="1:11">
      <c r="A175" s="1" t="s">
        <v>662</v>
      </c>
      <c r="B175" s="1" t="s">
        <v>662</v>
      </c>
      <c r="C175" s="34">
        <v>2.032E-3</v>
      </c>
      <c r="D175" s="3">
        <v>1.5599999999999999E-2</v>
      </c>
      <c r="E175" s="1" t="s">
        <v>660</v>
      </c>
      <c r="F175" s="29">
        <v>25840</v>
      </c>
      <c r="G175" s="1" t="s">
        <v>663</v>
      </c>
      <c r="J175" s="3">
        <f t="shared" si="4"/>
        <v>1.5599999999999999E-2</v>
      </c>
      <c r="K175" s="1" t="str">
        <f t="shared" si="5"/>
        <v>$0-$0.05</v>
      </c>
    </row>
    <row r="176" spans="1:11">
      <c r="A176" s="1" t="s">
        <v>664</v>
      </c>
      <c r="B176" s="1" t="s">
        <v>665</v>
      </c>
      <c r="C176" s="34">
        <v>4.5649999999999996E-3</v>
      </c>
      <c r="D176" s="3">
        <v>1E-3</v>
      </c>
      <c r="E176" s="1" t="s">
        <v>660</v>
      </c>
      <c r="F176" s="29">
        <v>290910</v>
      </c>
      <c r="G176" s="1" t="s">
        <v>666</v>
      </c>
      <c r="J176" s="3">
        <f t="shared" si="4"/>
        <v>1E-3</v>
      </c>
      <c r="K176" s="1" t="str">
        <f t="shared" si="5"/>
        <v>$0-$0.05</v>
      </c>
    </row>
    <row r="177" spans="1:11">
      <c r="A177" s="1" t="s">
        <v>667</v>
      </c>
      <c r="B177" s="1" t="s">
        <v>668</v>
      </c>
      <c r="C177" s="34">
        <v>3.1009999999999999E-2</v>
      </c>
      <c r="D177" s="3">
        <v>1.21E-2</v>
      </c>
      <c r="E177" s="1" t="s">
        <v>660</v>
      </c>
      <c r="F177" s="29">
        <v>1872</v>
      </c>
      <c r="G177" s="1" t="s">
        <v>669</v>
      </c>
      <c r="J177" s="3">
        <f t="shared" si="4"/>
        <v>1.21E-2</v>
      </c>
      <c r="K177" s="1" t="str">
        <f t="shared" si="5"/>
        <v>$0-$0.05</v>
      </c>
    </row>
    <row r="178" spans="1:11">
      <c r="A178" s="1" t="s">
        <v>670</v>
      </c>
      <c r="B178" s="1" t="s">
        <v>671</v>
      </c>
      <c r="C178" s="34">
        <v>1.5070000000000001E-3</v>
      </c>
      <c r="D178" s="3">
        <v>2.9999999999999997E-4</v>
      </c>
      <c r="E178" s="1" t="s">
        <v>672</v>
      </c>
      <c r="F178" s="29">
        <v>117957</v>
      </c>
      <c r="G178" s="1" t="s">
        <v>673</v>
      </c>
      <c r="J178" s="3">
        <f t="shared" si="4"/>
        <v>2.9999999999999997E-4</v>
      </c>
      <c r="K178" s="1" t="str">
        <f t="shared" si="5"/>
        <v>$0-$0.05</v>
      </c>
    </row>
    <row r="179" spans="1:11">
      <c r="A179" s="1" t="s">
        <v>674</v>
      </c>
      <c r="B179" s="1" t="s">
        <v>675</v>
      </c>
      <c r="C179" s="34">
        <v>0.1976</v>
      </c>
      <c r="D179" s="3">
        <v>1.2E-2</v>
      </c>
      <c r="E179" s="1" t="s">
        <v>672</v>
      </c>
      <c r="F179" s="29">
        <v>858809</v>
      </c>
      <c r="G179" s="1" t="s">
        <v>676</v>
      </c>
      <c r="J179" s="3">
        <f t="shared" si="4"/>
        <v>1.2E-2</v>
      </c>
      <c r="K179" s="1" t="str">
        <f t="shared" si="5"/>
        <v>$0.05-$0.5</v>
      </c>
    </row>
    <row r="180" spans="1:11">
      <c r="A180" s="1" t="s">
        <v>677</v>
      </c>
      <c r="B180" s="1" t="s">
        <v>678</v>
      </c>
      <c r="C180" s="34">
        <v>2.4190000000000001E-3</v>
      </c>
      <c r="D180" s="3">
        <v>9.7000000000000003E-3</v>
      </c>
      <c r="E180" s="1" t="s">
        <v>679</v>
      </c>
      <c r="F180" s="29">
        <v>62197</v>
      </c>
      <c r="G180" s="1" t="s">
        <v>680</v>
      </c>
      <c r="J180" s="3">
        <f t="shared" si="4"/>
        <v>9.7000000000000003E-3</v>
      </c>
      <c r="K180" s="1" t="str">
        <f t="shared" si="5"/>
        <v>$0-$0.05</v>
      </c>
    </row>
    <row r="181" spans="1:11">
      <c r="A181" s="1" t="s">
        <v>681</v>
      </c>
      <c r="B181" s="1" t="s">
        <v>682</v>
      </c>
      <c r="C181" s="34">
        <v>3.1489999999999999E-3</v>
      </c>
      <c r="D181" s="3">
        <v>0</v>
      </c>
      <c r="E181" s="1" t="s">
        <v>679</v>
      </c>
      <c r="F181" s="29">
        <v>109870</v>
      </c>
      <c r="G181" s="1" t="s">
        <v>683</v>
      </c>
      <c r="J181" s="3">
        <f t="shared" si="4"/>
        <v>0</v>
      </c>
      <c r="K181" s="1" t="str">
        <f t="shared" si="5"/>
        <v>$0-$0.05</v>
      </c>
    </row>
    <row r="182" spans="1:11">
      <c r="A182" s="1" t="s">
        <v>684</v>
      </c>
      <c r="B182" s="1" t="s">
        <v>685</v>
      </c>
      <c r="C182" s="34">
        <v>7.8279999999999999E-3</v>
      </c>
      <c r="D182" s="3">
        <v>0.18790000000000001</v>
      </c>
      <c r="E182" s="1" t="s">
        <v>686</v>
      </c>
      <c r="F182" s="29">
        <v>106039</v>
      </c>
      <c r="G182" s="1" t="s">
        <v>687</v>
      </c>
      <c r="J182" s="3">
        <f t="shared" si="4"/>
        <v>0.18790000000000001</v>
      </c>
      <c r="K182" s="1" t="str">
        <f t="shared" si="5"/>
        <v>$0-$0.05</v>
      </c>
    </row>
    <row r="183" spans="1:11">
      <c r="A183" s="1" t="s">
        <v>688</v>
      </c>
      <c r="B183" s="1" t="s">
        <v>689</v>
      </c>
      <c r="C183" s="34">
        <v>6.6490000000000004E-3</v>
      </c>
      <c r="D183" s="3">
        <v>0</v>
      </c>
      <c r="E183" s="1" t="s">
        <v>690</v>
      </c>
      <c r="F183" s="29">
        <v>36</v>
      </c>
      <c r="G183" s="1" t="s">
        <v>691</v>
      </c>
      <c r="J183" s="3">
        <f t="shared" si="4"/>
        <v>0</v>
      </c>
      <c r="K183" s="1" t="str">
        <f t="shared" si="5"/>
        <v>$0-$0.05</v>
      </c>
    </row>
    <row r="184" spans="1:11">
      <c r="A184" s="1" t="s">
        <v>692</v>
      </c>
      <c r="B184" s="1" t="s">
        <v>693</v>
      </c>
      <c r="C184" s="34">
        <v>9.6310000000000007E-3</v>
      </c>
      <c r="D184" s="3">
        <v>2.8E-3</v>
      </c>
      <c r="E184" s="1" t="s">
        <v>690</v>
      </c>
      <c r="F184" s="29">
        <v>201257</v>
      </c>
      <c r="G184" s="1" t="s">
        <v>694</v>
      </c>
      <c r="J184" s="3">
        <f t="shared" si="4"/>
        <v>2.8E-3</v>
      </c>
      <c r="K184" s="1" t="str">
        <f t="shared" si="5"/>
        <v>$0-$0.05</v>
      </c>
    </row>
    <row r="185" spans="1:11">
      <c r="A185" s="1" t="s">
        <v>695</v>
      </c>
      <c r="B185" s="1" t="s">
        <v>696</v>
      </c>
      <c r="C185" s="34">
        <v>5.9199999999999997E-4</v>
      </c>
      <c r="D185" s="3">
        <v>6.7999999999999996E-3</v>
      </c>
      <c r="E185" s="1" t="s">
        <v>690</v>
      </c>
      <c r="F185" s="29">
        <v>1660204</v>
      </c>
      <c r="G185" s="1" t="s">
        <v>697</v>
      </c>
      <c r="J185" s="3">
        <f t="shared" si="4"/>
        <v>6.7999999999999996E-3</v>
      </c>
      <c r="K185" s="1" t="str">
        <f t="shared" si="5"/>
        <v>$0-$0.05</v>
      </c>
    </row>
    <row r="186" spans="1:11">
      <c r="A186" s="1" t="s">
        <v>698</v>
      </c>
      <c r="B186" s="1" t="s">
        <v>698</v>
      </c>
      <c r="C186" s="34">
        <v>3.4099999999999998E-3</v>
      </c>
      <c r="D186" s="3">
        <v>3.0999999999999999E-3</v>
      </c>
      <c r="E186" s="1" t="s">
        <v>699</v>
      </c>
      <c r="F186" s="29">
        <v>115234</v>
      </c>
      <c r="G186" s="1" t="s">
        <v>700</v>
      </c>
      <c r="J186" s="3">
        <f t="shared" si="4"/>
        <v>3.0999999999999999E-3</v>
      </c>
      <c r="K186" s="1" t="str">
        <f t="shared" si="5"/>
        <v>$0-$0.05</v>
      </c>
    </row>
    <row r="187" spans="1:11">
      <c r="A187" s="1" t="s">
        <v>701</v>
      </c>
      <c r="B187" s="1" t="s">
        <v>702</v>
      </c>
      <c r="C187" s="34">
        <v>7.5139999999999998E-2</v>
      </c>
      <c r="D187" s="3">
        <v>1E-4</v>
      </c>
      <c r="E187" s="1" t="s">
        <v>699</v>
      </c>
      <c r="F187" s="29">
        <v>119741</v>
      </c>
      <c r="G187" s="1" t="s">
        <v>506</v>
      </c>
      <c r="J187" s="3">
        <f t="shared" si="4"/>
        <v>1E-4</v>
      </c>
      <c r="K187" s="1" t="str">
        <f t="shared" si="5"/>
        <v>$0.05-$0.5</v>
      </c>
    </row>
    <row r="188" spans="1:11">
      <c r="A188" s="1" t="s">
        <v>703</v>
      </c>
      <c r="B188" s="1" t="s">
        <v>704</v>
      </c>
      <c r="C188" s="34">
        <v>7.633E-3</v>
      </c>
      <c r="D188" s="3">
        <v>1.0999999999999999E-2</v>
      </c>
      <c r="E188" s="1" t="s">
        <v>699</v>
      </c>
      <c r="F188" s="29">
        <v>43846</v>
      </c>
      <c r="G188" s="1" t="s">
        <v>705</v>
      </c>
      <c r="J188" s="3">
        <f t="shared" si="4"/>
        <v>1.0999999999999999E-2</v>
      </c>
      <c r="K188" s="1" t="str">
        <f t="shared" si="5"/>
        <v>$0-$0.05</v>
      </c>
    </row>
    <row r="189" spans="1:11">
      <c r="A189" s="1" t="s">
        <v>706</v>
      </c>
      <c r="B189" s="1" t="s">
        <v>707</v>
      </c>
      <c r="C189" s="34">
        <v>6.391E-3</v>
      </c>
      <c r="D189" s="3">
        <v>0</v>
      </c>
      <c r="E189" s="1" t="s">
        <v>708</v>
      </c>
      <c r="F189" s="1" t="s">
        <v>445</v>
      </c>
      <c r="G189" s="1" t="s">
        <v>709</v>
      </c>
      <c r="J189" s="3">
        <f t="shared" si="4"/>
        <v>0</v>
      </c>
      <c r="K189" s="1" t="str">
        <f t="shared" si="5"/>
        <v>$0-$0.05</v>
      </c>
    </row>
    <row r="190" spans="1:11">
      <c r="A190" s="1" t="s">
        <v>710</v>
      </c>
      <c r="B190" s="1" t="s">
        <v>711</v>
      </c>
      <c r="C190" s="34">
        <v>3.8420000000000001E-4</v>
      </c>
      <c r="D190" s="3">
        <v>0</v>
      </c>
      <c r="E190" s="1" t="s">
        <v>708</v>
      </c>
      <c r="F190" s="1" t="s">
        <v>445</v>
      </c>
      <c r="G190" s="1" t="s">
        <v>712</v>
      </c>
      <c r="J190" s="3">
        <f t="shared" si="4"/>
        <v>0</v>
      </c>
      <c r="K190" s="1" t="str">
        <f t="shared" si="5"/>
        <v>$0-$0.05</v>
      </c>
    </row>
    <row r="191" spans="1:11">
      <c r="A191" s="1" t="s">
        <v>713</v>
      </c>
      <c r="B191" s="1" t="s">
        <v>714</v>
      </c>
      <c r="C191" s="34">
        <v>1.565E-3</v>
      </c>
      <c r="D191" s="3">
        <v>2E-3</v>
      </c>
      <c r="E191" s="1" t="s">
        <v>708</v>
      </c>
      <c r="F191" s="29">
        <v>606685</v>
      </c>
      <c r="G191" s="1" t="s">
        <v>59</v>
      </c>
      <c r="J191" s="3">
        <f t="shared" si="4"/>
        <v>2E-3</v>
      </c>
      <c r="K191" s="1" t="str">
        <f t="shared" si="5"/>
        <v>$0-$0.05</v>
      </c>
    </row>
    <row r="192" spans="1:11">
      <c r="A192" s="1" t="s">
        <v>715</v>
      </c>
      <c r="B192" s="1" t="s">
        <v>715</v>
      </c>
      <c r="C192" s="34">
        <v>4.2460000000000002E-4</v>
      </c>
      <c r="D192" s="3">
        <v>1.6000000000000001E-3</v>
      </c>
      <c r="E192" s="1" t="s">
        <v>716</v>
      </c>
      <c r="F192" s="29">
        <v>86086</v>
      </c>
      <c r="G192" s="1" t="s">
        <v>717</v>
      </c>
      <c r="J192" s="3">
        <f t="shared" si="4"/>
        <v>1.6000000000000001E-3</v>
      </c>
      <c r="K192" s="1" t="str">
        <f t="shared" si="5"/>
        <v>$0-$0.05</v>
      </c>
    </row>
    <row r="193" spans="1:11">
      <c r="A193" s="1" t="s">
        <v>718</v>
      </c>
      <c r="B193" s="1" t="s">
        <v>719</v>
      </c>
      <c r="C193" s="34">
        <v>4.0850000000000001E-3</v>
      </c>
      <c r="D193" s="3">
        <v>2E-3</v>
      </c>
      <c r="E193" s="1" t="s">
        <v>716</v>
      </c>
      <c r="F193" s="29">
        <v>11736</v>
      </c>
      <c r="G193" s="1" t="s">
        <v>720</v>
      </c>
      <c r="J193" s="3">
        <f t="shared" si="4"/>
        <v>2E-3</v>
      </c>
      <c r="K193" s="1" t="str">
        <f t="shared" si="5"/>
        <v>$0-$0.05</v>
      </c>
    </row>
    <row r="194" spans="1:11">
      <c r="A194" s="1" t="s">
        <v>721</v>
      </c>
      <c r="B194" s="1" t="s">
        <v>722</v>
      </c>
      <c r="C194" s="34">
        <v>4.9459999999999999E-4</v>
      </c>
      <c r="D194" s="3">
        <v>4.3E-3</v>
      </c>
      <c r="E194" s="1" t="s">
        <v>716</v>
      </c>
      <c r="F194" s="29">
        <v>150756</v>
      </c>
      <c r="G194" s="1" t="s">
        <v>723</v>
      </c>
      <c r="J194" s="3">
        <f t="shared" si="4"/>
        <v>4.3E-3</v>
      </c>
      <c r="K194" s="1" t="str">
        <f t="shared" si="5"/>
        <v>$0-$0.05</v>
      </c>
    </row>
    <row r="195" spans="1:11">
      <c r="A195" s="1" t="s">
        <v>724</v>
      </c>
      <c r="B195" s="1" t="s">
        <v>725</v>
      </c>
      <c r="C195" s="34">
        <v>6.265E-4</v>
      </c>
      <c r="D195" s="3">
        <v>1.9E-3</v>
      </c>
      <c r="E195" s="1" t="s">
        <v>716</v>
      </c>
      <c r="F195" s="29">
        <v>1332029</v>
      </c>
      <c r="G195" s="1" t="s">
        <v>726</v>
      </c>
      <c r="J195" s="3">
        <f t="shared" ref="J195:J201" si="6">IFERROR(AVERAGE(D195,H195,I195),"")</f>
        <v>1.9E-3</v>
      </c>
      <c r="K195" s="1" t="str">
        <f t="shared" ref="K195:K201" si="7">IF(C195&lt;=0.05,"$0-$0.05",IF(C195&lt;=0.5,"$0.05-$0.5",IF(C195&lt;=5,"$0.5-$5",IF(C195&lt;=50,"$5-$50","&gt;$50"))))</f>
        <v>$0-$0.05</v>
      </c>
    </row>
    <row r="196" spans="1:11">
      <c r="A196" s="1" t="s">
        <v>727</v>
      </c>
      <c r="B196" s="1" t="s">
        <v>728</v>
      </c>
      <c r="C196" s="34">
        <v>4.4560000000000002E-2</v>
      </c>
      <c r="D196" s="3">
        <v>1.26E-2</v>
      </c>
      <c r="E196" s="1" t="s">
        <v>716</v>
      </c>
      <c r="F196" s="29">
        <v>18</v>
      </c>
      <c r="G196" s="1" t="s">
        <v>729</v>
      </c>
      <c r="J196" s="3">
        <f t="shared" si="6"/>
        <v>1.26E-2</v>
      </c>
      <c r="K196" s="1" t="str">
        <f t="shared" si="7"/>
        <v>$0-$0.05</v>
      </c>
    </row>
    <row r="197" spans="1:11">
      <c r="A197" s="1" t="s">
        <v>730</v>
      </c>
      <c r="B197" s="1" t="s">
        <v>731</v>
      </c>
      <c r="C197" s="34">
        <v>1.286E-3</v>
      </c>
      <c r="D197" s="3">
        <v>0</v>
      </c>
      <c r="E197" s="1" t="s">
        <v>716</v>
      </c>
      <c r="F197" s="29">
        <v>395470</v>
      </c>
      <c r="G197" s="1" t="s">
        <v>732</v>
      </c>
      <c r="J197" s="3">
        <f t="shared" si="6"/>
        <v>0</v>
      </c>
      <c r="K197" s="1" t="str">
        <f t="shared" si="7"/>
        <v>$0-$0.05</v>
      </c>
    </row>
    <row r="198" spans="1:11">
      <c r="A198" s="1" t="s">
        <v>733</v>
      </c>
      <c r="B198" s="1" t="s">
        <v>734</v>
      </c>
      <c r="C198" s="34">
        <v>1.3799999999999999E-4</v>
      </c>
      <c r="D198" s="3">
        <v>0.1177</v>
      </c>
      <c r="E198" s="1" t="s">
        <v>735</v>
      </c>
      <c r="F198" s="29">
        <v>1609979</v>
      </c>
      <c r="G198" s="1" t="s">
        <v>326</v>
      </c>
      <c r="J198" s="3">
        <f t="shared" si="6"/>
        <v>0.1177</v>
      </c>
      <c r="K198" s="1" t="str">
        <f t="shared" si="7"/>
        <v>$0-$0.05</v>
      </c>
    </row>
    <row r="199" spans="1:11">
      <c r="A199" s="1" t="s">
        <v>736</v>
      </c>
      <c r="B199" s="1" t="s">
        <v>737</v>
      </c>
      <c r="C199" s="34">
        <v>6.2379999999999996E-3</v>
      </c>
      <c r="D199" s="3">
        <v>2.9399999999999999E-2</v>
      </c>
      <c r="E199" s="1" t="s">
        <v>738</v>
      </c>
      <c r="F199" s="29">
        <v>32118</v>
      </c>
      <c r="G199" s="1" t="s">
        <v>739</v>
      </c>
      <c r="J199" s="3">
        <f t="shared" si="6"/>
        <v>2.9399999999999999E-2</v>
      </c>
      <c r="K199" s="1" t="str">
        <f t="shared" si="7"/>
        <v>$0-$0.05</v>
      </c>
    </row>
    <row r="200" spans="1:11">
      <c r="A200" s="1" t="s">
        <v>740</v>
      </c>
      <c r="B200" s="1" t="s">
        <v>740</v>
      </c>
      <c r="C200" s="34">
        <v>1.2199999999999999E-3</v>
      </c>
      <c r="D200" s="3">
        <v>7.9000000000000008E-3</v>
      </c>
      <c r="E200" s="1" t="s">
        <v>741</v>
      </c>
      <c r="F200" s="29">
        <v>2223596</v>
      </c>
      <c r="G200" s="1" t="s">
        <v>59</v>
      </c>
      <c r="J200" s="3">
        <f t="shared" si="6"/>
        <v>7.9000000000000008E-3</v>
      </c>
      <c r="K200" s="1" t="str">
        <f t="shared" si="7"/>
        <v>$0-$0.05</v>
      </c>
    </row>
    <row r="201" spans="1:11">
      <c r="A201" s="1" t="s">
        <v>742</v>
      </c>
      <c r="B201" s="1" t="s">
        <v>743</v>
      </c>
      <c r="C201" s="34">
        <v>1.532E-2</v>
      </c>
      <c r="D201" s="3">
        <v>2.06E-2</v>
      </c>
      <c r="E201" s="1" t="s">
        <v>741</v>
      </c>
      <c r="F201" s="29">
        <v>1855</v>
      </c>
      <c r="G201" s="1" t="s">
        <v>744</v>
      </c>
      <c r="J201" s="3">
        <f t="shared" si="6"/>
        <v>2.06E-2</v>
      </c>
      <c r="K201" s="1" t="str">
        <f t="shared" si="7"/>
        <v>$0-$0.05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12F4D-6F0E-476A-8764-8726145B24D9}">
  <sheetPr codeName="Sheet2"/>
  <dimension ref="A1:L201"/>
  <sheetViews>
    <sheetView zoomScale="70" zoomScaleNormal="61" workbookViewId="0">
      <selection activeCell="J212" sqref="J212"/>
    </sheetView>
  </sheetViews>
  <sheetFormatPr defaultRowHeight="14.5"/>
  <cols>
    <col min="1" max="1" width="44.36328125" bestFit="1" customWidth="1"/>
    <col min="2" max="2" width="12.26953125" bestFit="1" customWidth="1"/>
    <col min="3" max="3" width="14.08984375" style="4" customWidth="1"/>
    <col min="4" max="4" width="14.1796875" style="3" customWidth="1"/>
    <col min="5" max="5" width="21.08984375" style="7" bestFit="1" customWidth="1"/>
    <col min="6" max="6" width="25.6328125" style="7" customWidth="1"/>
    <col min="7" max="7" width="24.453125" style="6" customWidth="1"/>
    <col min="8" max="8" width="12.1796875" style="4" bestFit="1" customWidth="1"/>
    <col min="9" max="9" width="12.1796875" style="15" bestFit="1" customWidth="1"/>
    <col min="10" max="10" width="22.6328125" style="7" customWidth="1"/>
    <col min="11" max="11" width="22.6328125" style="4" bestFit="1" customWidth="1"/>
    <col min="12" max="12" width="22.7265625" style="6" bestFit="1" customWidth="1"/>
    <col min="13" max="13" width="8.7265625" customWidth="1"/>
    <col min="14" max="15" width="28.90625" bestFit="1" customWidth="1"/>
  </cols>
  <sheetData>
    <row r="1" spans="1:12" ht="15" thickBot="1">
      <c r="A1" s="8" t="s">
        <v>0</v>
      </c>
      <c r="B1" s="9" t="s">
        <v>1</v>
      </c>
      <c r="C1" s="10" t="s">
        <v>745</v>
      </c>
      <c r="D1" s="11" t="s">
        <v>746</v>
      </c>
      <c r="E1" s="12" t="s">
        <v>749</v>
      </c>
      <c r="F1" s="12" t="s">
        <v>747</v>
      </c>
      <c r="G1" s="13" t="s">
        <v>748</v>
      </c>
      <c r="H1" s="14" t="s">
        <v>751</v>
      </c>
      <c r="I1" s="16" t="s">
        <v>752</v>
      </c>
      <c r="J1" s="17" t="s">
        <v>753</v>
      </c>
      <c r="K1" s="18" t="s">
        <v>763</v>
      </c>
      <c r="L1" s="5"/>
    </row>
    <row r="2" spans="1:12">
      <c r="A2" s="1" t="s">
        <v>7</v>
      </c>
      <c r="B2" s="1" t="s">
        <v>8</v>
      </c>
      <c r="C2" s="4">
        <v>104058.04</v>
      </c>
      <c r="D2" s="3">
        <v>2.3999999999999998E-3</v>
      </c>
      <c r="E2" s="7">
        <v>2069999999999.9998</v>
      </c>
      <c r="F2" s="7">
        <v>43170391288</v>
      </c>
      <c r="G2" s="6">
        <v>19880000</v>
      </c>
      <c r="H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2" s="15">
        <f>IF(H2="Yes",COUNTIFS($H$2:$H$201,"Yes",$F$2:$F$201,"&gt;"&amp;F2)+COUNTIFS($H$2:H2,"Yes",$F$2:F2,F2),"")</f>
        <v>1</v>
      </c>
      <c r="J2" s="7" t="str">
        <f t="shared" ref="J2:J33" si="0">IF(AND(H2="Yes",F2&lt;&gt;"",ISNUMBER(F2),I2&gt;=1,I2&lt;=10),"Top 10","")</f>
        <v>Top 10</v>
      </c>
      <c r="K2" s="4" t="str">
        <f>IF(C2&lt;=50,"$0-$50","Above $50")</f>
        <v>Above $50</v>
      </c>
    </row>
    <row r="3" spans="1:12">
      <c r="A3" s="1" t="s">
        <v>11</v>
      </c>
      <c r="B3" s="1" t="s">
        <v>12</v>
      </c>
      <c r="C3" s="4">
        <v>2483.59</v>
      </c>
      <c r="D3" s="3">
        <v>7.6E-3</v>
      </c>
      <c r="E3" s="7">
        <v>299510000000</v>
      </c>
      <c r="F3" s="7">
        <v>14942260356</v>
      </c>
      <c r="G3" s="6">
        <v>120720000</v>
      </c>
      <c r="H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3" s="15">
        <f>IF(H3="Yes",COUNTIFS($H$2:$H$201,"Yes",$F$2:$F$201,"&gt;"&amp;F3)+COUNTIFS($H$2:H3,"Yes",$F$2:F3,F3),"")</f>
        <v>2</v>
      </c>
      <c r="J3" s="7" t="str">
        <f t="shared" si="0"/>
        <v>Top 10</v>
      </c>
      <c r="K3" s="4" t="str">
        <f t="shared" ref="K3:K66" si="1">IF(C3&lt;=50,"$0-$50","Above $50")</f>
        <v>Above $50</v>
      </c>
    </row>
    <row r="4" spans="1:12" hidden="1">
      <c r="A4" s="1" t="s">
        <v>15</v>
      </c>
      <c r="B4" s="1" t="s">
        <v>16</v>
      </c>
      <c r="C4" s="4">
        <v>0.99990000000000001</v>
      </c>
      <c r="D4" s="3">
        <v>4.0000000000000002E-4</v>
      </c>
      <c r="E4" s="7">
        <v>155950000000</v>
      </c>
      <c r="F4" s="7">
        <v>60772601456</v>
      </c>
      <c r="G4" s="6">
        <v>155940000000</v>
      </c>
      <c r="H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4" s="15" t="str">
        <f>IF(H4="Yes",COUNTIFS($H$2:$H$201,"Yes",$F$2:$F$201,"&gt;"&amp;F4)+COUNTIFS($H$2:H4,"Yes",$F$2:F4,F4),"")</f>
        <v/>
      </c>
      <c r="J4" s="7" t="str">
        <f t="shared" si="0"/>
        <v/>
      </c>
      <c r="K4" s="4" t="str">
        <f t="shared" si="1"/>
        <v>$0-$50</v>
      </c>
    </row>
    <row r="5" spans="1:12" hidden="1">
      <c r="A5" s="1" t="s">
        <v>19</v>
      </c>
      <c r="B5" s="1" t="s">
        <v>19</v>
      </c>
      <c r="C5" s="4">
        <v>2.12</v>
      </c>
      <c r="D5" s="3">
        <v>5.5000000000000005E-3</v>
      </c>
      <c r="E5" s="7">
        <v>125420000000</v>
      </c>
      <c r="F5" s="7">
        <v>2046333328</v>
      </c>
      <c r="G5" s="6">
        <v>58930000000</v>
      </c>
      <c r="H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5" s="15" t="str">
        <f>IF(H5="Yes",COUNTIFS($H$2:$H$201,"Yes",$F$2:$F$201,"&gt;"&amp;F5)+COUNTIFS($H$2:H5,"Yes",$F$2:F5,F5),"")</f>
        <v/>
      </c>
      <c r="J5" s="7" t="str">
        <f t="shared" si="0"/>
        <v/>
      </c>
      <c r="K5" s="4" t="str">
        <f t="shared" si="1"/>
        <v>$0-$50</v>
      </c>
    </row>
    <row r="6" spans="1:12">
      <c r="A6" s="1" t="s">
        <v>22</v>
      </c>
      <c r="B6" s="1" t="s">
        <v>22</v>
      </c>
      <c r="C6" s="4">
        <v>644.79</v>
      </c>
      <c r="D6" s="3">
        <v>1E-3</v>
      </c>
      <c r="E6" s="7">
        <v>90840000000</v>
      </c>
      <c r="F6" s="7">
        <v>1497928447</v>
      </c>
      <c r="G6" s="6">
        <v>140880000</v>
      </c>
      <c r="H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6" s="15">
        <f>IF(H6="Yes",COUNTIFS($H$2:$H$201,"Yes",$F$2:$F$201,"&gt;"&amp;F6)+COUNTIFS($H$2:H6,"Yes",$F$2:F6,F6),"")</f>
        <v>4</v>
      </c>
      <c r="J6" s="7" t="str">
        <f t="shared" si="0"/>
        <v>Top 10</v>
      </c>
      <c r="K6" s="4" t="str">
        <f t="shared" si="1"/>
        <v>Above $50</v>
      </c>
    </row>
    <row r="7" spans="1:12" hidden="1">
      <c r="A7" s="1" t="s">
        <v>25</v>
      </c>
      <c r="B7" s="1" t="s">
        <v>26</v>
      </c>
      <c r="C7" s="4">
        <v>142.66999999999999</v>
      </c>
      <c r="D7" s="3">
        <v>9.8999999999999991E-3</v>
      </c>
      <c r="E7" s="7">
        <v>75330000000</v>
      </c>
      <c r="F7" s="7">
        <v>2904341748</v>
      </c>
      <c r="G7" s="6">
        <v>527960000.00000006</v>
      </c>
      <c r="H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 s="15" t="str">
        <f>IF(H7="Yes",COUNTIFS($H$2:$H$201,"Yes",$F$2:$F$201,"&gt;"&amp;F7)+COUNTIFS($H$2:H7,"Yes",$F$2:F7,F7),"")</f>
        <v/>
      </c>
      <c r="J7" s="7" t="str">
        <f t="shared" si="0"/>
        <v/>
      </c>
      <c r="K7" s="4" t="str">
        <f t="shared" si="1"/>
        <v>Above $50</v>
      </c>
    </row>
    <row r="8" spans="1:12">
      <c r="A8" s="1" t="s">
        <v>29</v>
      </c>
      <c r="B8" s="1" t="s">
        <v>29</v>
      </c>
      <c r="C8" s="4">
        <v>0.99980000000000002</v>
      </c>
      <c r="D8" s="3">
        <v>2.9999999999999997E-4</v>
      </c>
      <c r="E8" s="7">
        <v>61230000000</v>
      </c>
      <c r="F8" s="7">
        <v>8208315257</v>
      </c>
      <c r="G8" s="6">
        <v>61230000000</v>
      </c>
      <c r="H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8" s="15">
        <f>IF(H8="Yes",COUNTIFS($H$2:$H$201,"Yes",$F$2:$F$201,"&gt;"&amp;F8)+COUNTIFS($H$2:H8,"Yes",$F$2:F8,F8),"")</f>
        <v>3</v>
      </c>
      <c r="J8" s="7" t="str">
        <f t="shared" si="0"/>
        <v>Top 10</v>
      </c>
      <c r="K8" s="4" t="str">
        <f t="shared" si="1"/>
        <v>$0-$50</v>
      </c>
    </row>
    <row r="9" spans="1:12" hidden="1">
      <c r="A9" s="1" t="s">
        <v>32</v>
      </c>
      <c r="B9" s="1" t="s">
        <v>33</v>
      </c>
      <c r="C9" s="4">
        <v>0.27339999999999998</v>
      </c>
      <c r="D9" s="3">
        <v>3.5999999999999999E-3</v>
      </c>
      <c r="E9" s="7">
        <v>25930000000</v>
      </c>
      <c r="F9" s="7">
        <v>445406337</v>
      </c>
      <c r="G9" s="6">
        <v>94820000000</v>
      </c>
      <c r="H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9" s="15" t="str">
        <f>IF(H9="Yes",COUNTIFS($H$2:$H$201,"Yes",$F$2:$F$201,"&gt;"&amp;F9)+COUNTIFS($H$2:H9,"Yes",$F$2:F9,F9),"")</f>
        <v/>
      </c>
      <c r="J9" s="7" t="str">
        <f t="shared" si="0"/>
        <v/>
      </c>
      <c r="K9" s="4" t="str">
        <f t="shared" si="1"/>
        <v>$0-$50</v>
      </c>
    </row>
    <row r="10" spans="1:12">
      <c r="A10" s="1" t="s">
        <v>36</v>
      </c>
      <c r="B10" s="1" t="s">
        <v>37</v>
      </c>
      <c r="C10" s="4">
        <v>0.16539999999999999</v>
      </c>
      <c r="D10" s="3">
        <v>9.3999999999999986E-3</v>
      </c>
      <c r="E10" s="7">
        <v>24770000000</v>
      </c>
      <c r="F10" s="7">
        <v>781433558</v>
      </c>
      <c r="G10" s="6">
        <v>149760000000</v>
      </c>
      <c r="H1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0" s="15">
        <f>IF(H10="Yes",COUNTIFS($H$2:$H$201,"Yes",$F$2:$F$201,"&gt;"&amp;F10)+COUNTIFS($H$2:H10,"Yes",$F$2:F10,F10),"")</f>
        <v>5</v>
      </c>
      <c r="J10" s="7" t="str">
        <f t="shared" si="0"/>
        <v>Top 10</v>
      </c>
      <c r="K10" s="4" t="str">
        <f t="shared" si="1"/>
        <v>$0-$50</v>
      </c>
    </row>
    <row r="11" spans="1:12">
      <c r="A11" s="1" t="s">
        <v>40</v>
      </c>
      <c r="B11" s="1" t="s">
        <v>41</v>
      </c>
      <c r="C11" s="4">
        <v>0.58079999999999998</v>
      </c>
      <c r="D11" s="3">
        <v>9.5999999999999992E-3</v>
      </c>
      <c r="E11" s="7">
        <v>20540000000</v>
      </c>
      <c r="F11" s="7">
        <v>539447597</v>
      </c>
      <c r="G11" s="6">
        <v>35360000000</v>
      </c>
      <c r="H1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1" s="15">
        <f>IF(H11="Yes",COUNTIFS($H$2:$H$201,"Yes",$F$2:$F$201,"&gt;"&amp;F11)+COUNTIFS($H$2:H11,"Yes",$F$2:F11,F11),"")</f>
        <v>6</v>
      </c>
      <c r="J11" s="7" t="str">
        <f t="shared" si="0"/>
        <v>Top 10</v>
      </c>
      <c r="K11" s="4" t="str">
        <f t="shared" si="1"/>
        <v>$0-$50</v>
      </c>
    </row>
    <row r="12" spans="1:12" hidden="1">
      <c r="A12" s="1" t="s">
        <v>44</v>
      </c>
      <c r="B12" s="1" t="s">
        <v>45</v>
      </c>
      <c r="C12" s="4">
        <v>9.0959999999999999E-3</v>
      </c>
      <c r="D12" s="3">
        <v>1.3999999999999999E-2</v>
      </c>
      <c r="E12" s="7">
        <v>571840000</v>
      </c>
      <c r="F12" s="7">
        <v>60468868</v>
      </c>
      <c r="G12" s="6">
        <v>62860000000</v>
      </c>
      <c r="H1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 s="15" t="str">
        <f>IF(H12="Yes",COUNTIFS($H$2:$H$201,"Yes",$F$2:$F$201,"&gt;"&amp;F12)+COUNTIFS($H$2:H12,"Yes",$F$2:F12,F12),"")</f>
        <v/>
      </c>
      <c r="J12" s="7" t="str">
        <f t="shared" si="0"/>
        <v/>
      </c>
      <c r="K12" s="4" t="str">
        <f t="shared" si="1"/>
        <v>$0-$50</v>
      </c>
    </row>
    <row r="13" spans="1:12" hidden="1">
      <c r="A13" s="1" t="s">
        <v>48</v>
      </c>
      <c r="B13" s="1" t="s">
        <v>49</v>
      </c>
      <c r="C13" s="4">
        <v>0.42049999999999998</v>
      </c>
      <c r="D13" s="3">
        <v>1.5700000000000002E-2</v>
      </c>
      <c r="E13" s="7">
        <v>567000000</v>
      </c>
      <c r="F13" s="7">
        <v>22854744</v>
      </c>
      <c r="G13" s="6">
        <v>1340000000</v>
      </c>
      <c r="H1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3" s="15" t="str">
        <f>IF(H13="Yes",COUNTIFS($H$2:$H$201,"Yes",$F$2:$F$201,"&gt;"&amp;F13)+COUNTIFS($H$2:H13,"Yes",$F$2:F13,F13),"")</f>
        <v/>
      </c>
      <c r="J13" s="7" t="str">
        <f t="shared" si="0"/>
        <v/>
      </c>
      <c r="K13" s="4" t="str">
        <f t="shared" si="1"/>
        <v>$0-$50</v>
      </c>
    </row>
    <row r="14" spans="1:12" hidden="1">
      <c r="A14" s="1" t="s">
        <v>52</v>
      </c>
      <c r="B14" s="1" t="s">
        <v>53</v>
      </c>
      <c r="C14" s="4">
        <v>2.06</v>
      </c>
      <c r="D14" s="3">
        <v>1.1699999999999999E-2</v>
      </c>
      <c r="E14" s="7">
        <v>551360000</v>
      </c>
      <c r="F14" s="7">
        <v>110228545</v>
      </c>
      <c r="G14" s="6">
        <v>267620000</v>
      </c>
      <c r="H1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4" s="15" t="str">
        <f>IF(H14="Yes",COUNTIFS($H$2:$H$201,"Yes",$F$2:$F$201,"&gt;"&amp;F14)+COUNTIFS($H$2:H14,"Yes",$F$2:F14,F14),"")</f>
        <v/>
      </c>
      <c r="J14" s="7" t="str">
        <f t="shared" si="0"/>
        <v/>
      </c>
      <c r="K14" s="4" t="str">
        <f t="shared" si="1"/>
        <v>$0-$50</v>
      </c>
    </row>
    <row r="15" spans="1:12" hidden="1">
      <c r="A15" s="1" t="s">
        <v>56</v>
      </c>
      <c r="B15" s="1" t="s">
        <v>57</v>
      </c>
      <c r="C15" s="4">
        <v>0.54430000000000001</v>
      </c>
      <c r="D15" s="3">
        <v>8.199999999999999E-3</v>
      </c>
      <c r="E15" s="7">
        <v>546450000</v>
      </c>
      <c r="F15" s="7">
        <v>14386742</v>
      </c>
      <c r="G15" s="6">
        <v>1000000000</v>
      </c>
      <c r="H1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5" s="15">
        <f>IF(H15="Yes",COUNTIFS($H$2:$H$201,"Yes",$F$2:$F$201,"&gt;"&amp;F15)+COUNTIFS($H$2:H15,"Yes",$F$2:F15,F15),"")</f>
        <v>11</v>
      </c>
      <c r="J15" s="7" t="str">
        <f t="shared" si="0"/>
        <v/>
      </c>
      <c r="K15" s="4" t="str">
        <f t="shared" si="1"/>
        <v>$0-$50</v>
      </c>
    </row>
    <row r="16" spans="1:12" hidden="1">
      <c r="A16" s="1" t="s">
        <v>60</v>
      </c>
      <c r="B16" s="1" t="s">
        <v>61</v>
      </c>
      <c r="C16" s="4">
        <v>0.52070000000000005</v>
      </c>
      <c r="D16" s="3">
        <v>6.6E-3</v>
      </c>
      <c r="E16" s="7">
        <v>545720000</v>
      </c>
      <c r="F16" s="7">
        <v>14355952</v>
      </c>
      <c r="G16" s="6">
        <v>1040000000</v>
      </c>
      <c r="H1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6" s="15" t="str">
        <f>IF(H16="Yes",COUNTIFS($H$2:$H$201,"Yes",$F$2:$F$201,"&gt;"&amp;F16)+COUNTIFS($H$2:H16,"Yes",$F$2:F16,F16),"")</f>
        <v/>
      </c>
      <c r="J16" s="7" t="str">
        <f t="shared" si="0"/>
        <v/>
      </c>
      <c r="K16" s="4" t="str">
        <f t="shared" si="1"/>
        <v>$0-$50</v>
      </c>
    </row>
    <row r="17" spans="1:11" hidden="1">
      <c r="A17" s="1" t="s">
        <v>64</v>
      </c>
      <c r="B17" s="1" t="s">
        <v>65</v>
      </c>
      <c r="C17" s="4">
        <v>9.4530000000000003E-2</v>
      </c>
      <c r="D17" s="3">
        <v>2.2700000000000001E-2</v>
      </c>
      <c r="E17" s="7">
        <v>543570000</v>
      </c>
      <c r="F17" s="7">
        <v>27917564</v>
      </c>
      <c r="G17" s="6">
        <v>5740000000</v>
      </c>
      <c r="H1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7" s="15" t="str">
        <f>IF(H17="Yes",COUNTIFS($H$2:$H$201,"Yes",$F$2:$F$201,"&gt;"&amp;F17)+COUNTIFS($H$2:H17,"Yes",$F$2:F17,F17),"")</f>
        <v/>
      </c>
      <c r="J17" s="7" t="str">
        <f t="shared" si="0"/>
        <v/>
      </c>
      <c r="K17" s="4" t="str">
        <f t="shared" si="1"/>
        <v>$0-$50</v>
      </c>
    </row>
    <row r="18" spans="1:11" hidden="1">
      <c r="A18" s="1" t="s">
        <v>68</v>
      </c>
      <c r="B18" s="1" t="s">
        <v>69</v>
      </c>
      <c r="C18" s="4">
        <v>0.33939999999999998</v>
      </c>
      <c r="D18" s="3">
        <v>0.01</v>
      </c>
      <c r="E18" s="7">
        <v>539910000</v>
      </c>
      <c r="F18" s="7">
        <v>21157648</v>
      </c>
      <c r="G18" s="6">
        <v>1590000000</v>
      </c>
      <c r="H1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8" s="15" t="str">
        <f>IF(H18="Yes",COUNTIFS($H$2:$H$201,"Yes",$F$2:$F$201,"&gt;"&amp;F18)+COUNTIFS($H$2:H18,"Yes",$F$2:F18,F18),"")</f>
        <v/>
      </c>
      <c r="J18" s="7" t="str">
        <f t="shared" si="0"/>
        <v/>
      </c>
      <c r="K18" s="4" t="str">
        <f t="shared" si="1"/>
        <v>$0-$50</v>
      </c>
    </row>
    <row r="19" spans="1:11" hidden="1">
      <c r="A19" s="1" t="s">
        <v>72</v>
      </c>
      <c r="B19" s="1" t="s">
        <v>73</v>
      </c>
      <c r="C19" s="4">
        <v>0.46260000000000001</v>
      </c>
      <c r="D19" s="3">
        <v>3.0499999999999999E-2</v>
      </c>
      <c r="E19" s="7">
        <v>515169999.99999994</v>
      </c>
      <c r="F19" s="7">
        <v>70946476</v>
      </c>
      <c r="G19" s="6">
        <v>1110000000</v>
      </c>
      <c r="H1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9" s="15" t="str">
        <f>IF(H19="Yes",COUNTIFS($H$2:$H$201,"Yes",$F$2:$F$201,"&gt;"&amp;F19)+COUNTIFS($H$2:H19,"Yes",$F$2:F19,F19),"")</f>
        <v/>
      </c>
      <c r="J19" s="7" t="str">
        <f t="shared" si="0"/>
        <v/>
      </c>
      <c r="K19" s="4" t="str">
        <f t="shared" si="1"/>
        <v>$0-$50</v>
      </c>
    </row>
    <row r="20" spans="1:11">
      <c r="A20" s="1" t="s">
        <v>76</v>
      </c>
      <c r="B20" s="1" t="s">
        <v>77</v>
      </c>
      <c r="C20" s="4">
        <v>0.2505</v>
      </c>
      <c r="D20" s="3">
        <v>1.37E-2</v>
      </c>
      <c r="E20" s="7">
        <v>493580000</v>
      </c>
      <c r="F20" s="7">
        <v>25685731</v>
      </c>
      <c r="G20" s="6">
        <v>1960000000</v>
      </c>
      <c r="H2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20" s="15">
        <f>IF(H20="Yes",COUNTIFS($H$2:$H$201,"Yes",$F$2:$F$201,"&gt;"&amp;F20)+COUNTIFS($H$2:H20,"Yes",$F$2:F20,F20),"")</f>
        <v>9</v>
      </c>
      <c r="J20" s="7" t="str">
        <f t="shared" si="0"/>
        <v>Top 10</v>
      </c>
      <c r="K20" s="4" t="str">
        <f t="shared" si="1"/>
        <v>$0-$50</v>
      </c>
    </row>
    <row r="21" spans="1:11" hidden="1">
      <c r="A21" s="1" t="s">
        <v>80</v>
      </c>
      <c r="B21" s="1" t="s">
        <v>81</v>
      </c>
      <c r="C21" s="4">
        <v>0.99760000000000004</v>
      </c>
      <c r="D21" s="3">
        <v>1E-4</v>
      </c>
      <c r="E21" s="7">
        <v>493330000</v>
      </c>
      <c r="F21" s="7">
        <v>60347807</v>
      </c>
      <c r="G21" s="6">
        <v>494510000</v>
      </c>
      <c r="H2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1" s="15" t="str">
        <f>IF(H21="Yes",COUNTIFS($H$2:$H$201,"Yes",$F$2:$F$201,"&gt;"&amp;F21)+COUNTIFS($H$2:H21,"Yes",$F$2:F21,F21),"")</f>
        <v/>
      </c>
      <c r="J21" s="7" t="str">
        <f t="shared" si="0"/>
        <v/>
      </c>
      <c r="K21" s="4" t="str">
        <f t="shared" si="1"/>
        <v>$0-$50</v>
      </c>
    </row>
    <row r="22" spans="1:11" hidden="1">
      <c r="A22" s="1" t="s">
        <v>84</v>
      </c>
      <c r="B22" s="1" t="s">
        <v>85</v>
      </c>
      <c r="C22" s="4">
        <v>4.45</v>
      </c>
      <c r="D22" s="3">
        <v>1E-4</v>
      </c>
      <c r="E22" s="7">
        <v>1950000000</v>
      </c>
      <c r="F22" s="7">
        <v>58305626</v>
      </c>
      <c r="G22" s="6">
        <v>436260000</v>
      </c>
      <c r="H2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2" s="15" t="str">
        <f>IF(H22="Yes",COUNTIFS($H$2:$H$201,"Yes",$F$2:$F$201,"&gt;"&amp;F22)+COUNTIFS($H$2:H22,"Yes",$F$2:F22,F22),"")</f>
        <v/>
      </c>
      <c r="J22" s="7" t="str">
        <f t="shared" si="0"/>
        <v/>
      </c>
      <c r="K22" s="4" t="str">
        <f t="shared" si="1"/>
        <v>$0-$50</v>
      </c>
    </row>
    <row r="23" spans="1:11" hidden="1">
      <c r="A23" s="1" t="s">
        <v>88</v>
      </c>
      <c r="B23" s="1" t="s">
        <v>89</v>
      </c>
      <c r="C23" s="4">
        <v>4.32</v>
      </c>
      <c r="D23" s="3">
        <v>4.5000000000000005E-3</v>
      </c>
      <c r="E23" s="7">
        <v>1490000000</v>
      </c>
      <c r="F23" s="7">
        <v>17245756</v>
      </c>
      <c r="G23" s="6">
        <v>343490000</v>
      </c>
      <c r="H2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3" s="15" t="str">
        <f>IF(H23="Yes",COUNTIFS($H$2:$H$201,"Yes",$F$2:$F$201,"&gt;"&amp;F23)+COUNTIFS($H$2:H23,"Yes",$F$2:F23,F23),"")</f>
        <v/>
      </c>
      <c r="J23" s="7" t="str">
        <f t="shared" si="0"/>
        <v/>
      </c>
      <c r="K23" s="4" t="str">
        <f t="shared" si="1"/>
        <v>$0-$50</v>
      </c>
    </row>
    <row r="24" spans="1:11" hidden="1">
      <c r="A24" s="1" t="s">
        <v>92</v>
      </c>
      <c r="B24" s="1" t="s">
        <v>93</v>
      </c>
      <c r="C24" s="4">
        <v>3.26</v>
      </c>
      <c r="D24" s="3">
        <v>5.9999999999999995E-4</v>
      </c>
      <c r="E24" s="7">
        <v>846700000</v>
      </c>
      <c r="F24" s="7">
        <v>486945</v>
      </c>
      <c r="G24" s="6">
        <v>258970000.00000003</v>
      </c>
      <c r="H2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4" s="15" t="str">
        <f>IF(H24="Yes",COUNTIFS($H$2:$H$201,"Yes",$F$2:$F$201,"&gt;"&amp;F24)+COUNTIFS($H$2:H24,"Yes",$F$2:F24,F24),"")</f>
        <v/>
      </c>
      <c r="J24" s="7" t="str">
        <f t="shared" si="0"/>
        <v/>
      </c>
      <c r="K24" s="4" t="str">
        <f t="shared" si="1"/>
        <v>$0-$50</v>
      </c>
    </row>
    <row r="25" spans="1:11" hidden="1">
      <c r="A25" s="1" t="s">
        <v>96</v>
      </c>
      <c r="B25" s="1" t="s">
        <v>97</v>
      </c>
      <c r="C25" s="4">
        <v>1.43</v>
      </c>
      <c r="D25" s="3">
        <v>5.1999999999999998E-3</v>
      </c>
      <c r="E25" s="7">
        <v>677190000</v>
      </c>
      <c r="F25" s="7">
        <v>2595867</v>
      </c>
      <c r="G25" s="6">
        <v>471870000</v>
      </c>
      <c r="H2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5" s="15" t="str">
        <f>IF(H25="Yes",COUNTIFS($H$2:$H$201,"Yes",$F$2:$F$201,"&gt;"&amp;F25)+COUNTIFS($H$2:H25,"Yes",$F$2:F25,F25),"")</f>
        <v/>
      </c>
      <c r="J25" s="7" t="str">
        <f t="shared" si="0"/>
        <v/>
      </c>
      <c r="K25" s="4" t="str">
        <f t="shared" si="1"/>
        <v>$0-$50</v>
      </c>
    </row>
    <row r="26" spans="1:11" hidden="1">
      <c r="A26" s="1" t="s">
        <v>100</v>
      </c>
      <c r="B26" s="1" t="s">
        <v>101</v>
      </c>
      <c r="C26" s="4">
        <v>0.99770000000000003</v>
      </c>
      <c r="D26" s="3">
        <v>1E-4</v>
      </c>
      <c r="E26" s="7">
        <v>652010000</v>
      </c>
      <c r="F26" s="7">
        <v>6754108</v>
      </c>
      <c r="G26" s="6">
        <v>653460000</v>
      </c>
      <c r="H2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26" s="15">
        <f>IF(H26="Yes",COUNTIFS($H$2:$H$201,"Yes",$F$2:$F$201,"&gt;"&amp;F26)+COUNTIFS($H$2:H26,"Yes",$F$2:F26,F26),"")</f>
        <v>16</v>
      </c>
      <c r="J26" s="7" t="str">
        <f t="shared" si="0"/>
        <v/>
      </c>
      <c r="K26" s="4" t="str">
        <f t="shared" si="1"/>
        <v>$0-$50</v>
      </c>
    </row>
    <row r="27" spans="1:11" hidden="1">
      <c r="A27" s="1" t="s">
        <v>104</v>
      </c>
      <c r="B27" s="1" t="s">
        <v>105</v>
      </c>
      <c r="C27" s="4">
        <v>1.0900000000000001</v>
      </c>
      <c r="D27" s="3">
        <v>2.9999999999999997E-4</v>
      </c>
      <c r="E27" s="7">
        <v>635980000</v>
      </c>
      <c r="F27" s="7">
        <v>2293702</v>
      </c>
      <c r="G27" s="6">
        <v>581350000</v>
      </c>
      <c r="H2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27" s="15">
        <f>IF(H27="Yes",COUNTIFS($H$2:$H$201,"Yes",$F$2:$F$201,"&gt;"&amp;F27)+COUNTIFS($H$2:H27,"Yes",$F$2:F27,F27),"")</f>
        <v>26</v>
      </c>
      <c r="J27" s="7" t="str">
        <f t="shared" si="0"/>
        <v/>
      </c>
      <c r="K27" s="4" t="str">
        <f t="shared" si="1"/>
        <v>$0-$50</v>
      </c>
    </row>
    <row r="28" spans="1:11" hidden="1">
      <c r="A28" s="1" t="s">
        <v>108</v>
      </c>
      <c r="B28" s="1" t="s">
        <v>109</v>
      </c>
      <c r="C28" s="4">
        <v>0.99970000000000003</v>
      </c>
      <c r="D28" s="3">
        <v>0</v>
      </c>
      <c r="E28" s="7">
        <v>563500000</v>
      </c>
      <c r="F28" s="7">
        <v>3265776</v>
      </c>
      <c r="G28" s="6">
        <v>563650000</v>
      </c>
      <c r="H2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8" s="15" t="str">
        <f>IF(H28="Yes",COUNTIFS($H$2:$H$201,"Yes",$F$2:$F$201,"&gt;"&amp;F28)+COUNTIFS($H$2:H28,"Yes",$F$2:F28,F28),"")</f>
        <v/>
      </c>
      <c r="J28" s="7" t="str">
        <f t="shared" si="0"/>
        <v/>
      </c>
      <c r="K28" s="4" t="str">
        <f t="shared" si="1"/>
        <v>$0-$50</v>
      </c>
    </row>
    <row r="29" spans="1:11" hidden="1">
      <c r="A29" s="1" t="s">
        <v>112</v>
      </c>
      <c r="B29" s="1" t="s">
        <v>113</v>
      </c>
      <c r="C29" s="4">
        <v>1.6469999999999999E-2</v>
      </c>
      <c r="D29" s="3">
        <v>5.1999999999999998E-3</v>
      </c>
      <c r="E29" s="7">
        <v>546470000</v>
      </c>
      <c r="F29" s="7">
        <v>183208</v>
      </c>
      <c r="G29" s="6">
        <v>33159999999.999996</v>
      </c>
      <c r="H2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9" s="15" t="str">
        <f>IF(H29="Yes",COUNTIFS($H$2:$H$201,"Yes",$F$2:$F$201,"&gt;"&amp;F29)+COUNTIFS($H$2:H29,"Yes",$F$2:F29,F29),"")</f>
        <v/>
      </c>
      <c r="J29" s="7" t="str">
        <f t="shared" si="0"/>
        <v/>
      </c>
      <c r="K29" s="4" t="str">
        <f t="shared" si="1"/>
        <v>$0-$50</v>
      </c>
    </row>
    <row r="30" spans="1:11" hidden="1">
      <c r="A30" s="1" t="s">
        <v>116</v>
      </c>
      <c r="B30" s="1" t="s">
        <v>117</v>
      </c>
      <c r="C30" s="4">
        <v>0.49459999999999998</v>
      </c>
      <c r="D30" s="3">
        <v>3.0299999999999997E-2</v>
      </c>
      <c r="E30" s="7">
        <v>494410000</v>
      </c>
      <c r="F30" s="7">
        <v>138536</v>
      </c>
      <c r="G30" s="6">
        <v>999450000</v>
      </c>
      <c r="H3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30" s="15" t="str">
        <f>IF(H30="Yes",COUNTIFS($H$2:$H$201,"Yes",$F$2:$F$201,"&gt;"&amp;F30)+COUNTIFS($H$2:H30,"Yes",$F$2:F30,F30),"")</f>
        <v/>
      </c>
      <c r="J30" s="7" t="str">
        <f t="shared" si="0"/>
        <v/>
      </c>
      <c r="K30" s="4" t="str">
        <f t="shared" si="1"/>
        <v>$0-$50</v>
      </c>
    </row>
    <row r="31" spans="1:11" hidden="1">
      <c r="A31" s="1" t="s">
        <v>120</v>
      </c>
      <c r="B31" s="1" t="s">
        <v>121</v>
      </c>
      <c r="C31" s="4">
        <v>7.3550000000000004E-4</v>
      </c>
      <c r="D31" s="3">
        <v>6.6E-3</v>
      </c>
      <c r="E31" s="7">
        <v>478120000</v>
      </c>
      <c r="F31" s="7">
        <v>772538</v>
      </c>
      <c r="G31" s="6">
        <v>650000000000</v>
      </c>
      <c r="H3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31" s="15" t="str">
        <f>IF(H31="Yes",COUNTIFS($H$2:$H$201,"Yes",$F$2:$F$201,"&gt;"&amp;F31)+COUNTIFS($H$2:H31,"Yes",$F$2:F31,F31),"")</f>
        <v/>
      </c>
      <c r="J31" s="7" t="str">
        <f t="shared" si="0"/>
        <v/>
      </c>
      <c r="K31" s="4" t="str">
        <f t="shared" si="1"/>
        <v>$0-$50</v>
      </c>
    </row>
    <row r="32" spans="1:11" hidden="1">
      <c r="A32" s="1" t="s">
        <v>124</v>
      </c>
      <c r="B32" s="1" t="s">
        <v>125</v>
      </c>
      <c r="C32" s="4">
        <v>0.1205</v>
      </c>
      <c r="D32" s="3">
        <v>1.1399999999999999E-2</v>
      </c>
      <c r="E32" s="7">
        <v>110110000</v>
      </c>
      <c r="F32" s="7">
        <v>4884866</v>
      </c>
      <c r="G32" s="6">
        <v>913690000</v>
      </c>
      <c r="H3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32" s="15">
        <f>IF(H32="Yes",COUNTIFS($H$2:$H$201,"Yes",$F$2:$F$201,"&gt;"&amp;F32)+COUNTIFS($H$2:H32,"Yes",$F$2:F32,F32),"")</f>
        <v>19</v>
      </c>
      <c r="J32" s="7" t="str">
        <f t="shared" si="0"/>
        <v/>
      </c>
      <c r="K32" s="4" t="str">
        <f t="shared" si="1"/>
        <v>$0-$50</v>
      </c>
    </row>
    <row r="33" spans="1:11" hidden="1">
      <c r="A33" s="1" t="s">
        <v>128</v>
      </c>
      <c r="B33" s="1" t="s">
        <v>129</v>
      </c>
      <c r="C33" s="4">
        <v>0.1336</v>
      </c>
      <c r="D33" s="3">
        <v>3.2000000000000002E-3</v>
      </c>
      <c r="E33" s="7">
        <v>110120000</v>
      </c>
      <c r="F33" s="7">
        <v>3268919</v>
      </c>
      <c r="G33" s="6">
        <v>824210000</v>
      </c>
      <c r="H3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33" s="15" t="str">
        <f>IF(H33="Yes",COUNTIFS($H$2:$H$201,"Yes",$F$2:$F$201,"&gt;"&amp;F33)+COUNTIFS($H$2:H33,"Yes",$F$2:F33,F33),"")</f>
        <v/>
      </c>
      <c r="J33" s="7" t="str">
        <f t="shared" si="0"/>
        <v/>
      </c>
      <c r="K33" s="4" t="str">
        <f t="shared" si="1"/>
        <v>$0-$50</v>
      </c>
    </row>
    <row r="34" spans="1:11" hidden="1">
      <c r="A34" s="1" t="s">
        <v>132</v>
      </c>
      <c r="B34" s="1" t="s">
        <v>133</v>
      </c>
      <c r="C34" s="4">
        <v>0.1043</v>
      </c>
      <c r="D34" s="3">
        <v>6.3E-3</v>
      </c>
      <c r="E34" s="7">
        <v>109850000</v>
      </c>
      <c r="F34" s="7">
        <v>4086544</v>
      </c>
      <c r="G34" s="6">
        <v>1050000000</v>
      </c>
      <c r="H3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34" s="15" t="str">
        <f>IF(H34="Yes",COUNTIFS($H$2:$H$201,"Yes",$F$2:$F$201,"&gt;"&amp;F34)+COUNTIFS($H$2:H34,"Yes",$F$2:F34,F34),"")</f>
        <v/>
      </c>
      <c r="J34" s="7" t="str">
        <f t="shared" ref="J34:J65" si="2">IF(AND(H34="Yes",F34&lt;&gt;"",ISNUMBER(F34),I34&gt;=1,I34&lt;=10),"Top 10","")</f>
        <v/>
      </c>
      <c r="K34" s="4" t="str">
        <f t="shared" si="1"/>
        <v>$0-$50</v>
      </c>
    </row>
    <row r="35" spans="1:11" hidden="1">
      <c r="A35" s="1" t="s">
        <v>136</v>
      </c>
      <c r="B35" s="1" t="s">
        <v>136</v>
      </c>
      <c r="C35" s="4">
        <v>5.0279999999999998E-2</v>
      </c>
      <c r="D35" s="3">
        <v>9.4999999999999998E-3</v>
      </c>
      <c r="E35" s="7">
        <v>109590000</v>
      </c>
      <c r="F35" s="7">
        <v>5574946</v>
      </c>
      <c r="G35" s="6">
        <v>2170000000</v>
      </c>
      <c r="H3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35" s="15">
        <f>IF(H35="Yes",COUNTIFS($H$2:$H$201,"Yes",$F$2:$F$201,"&gt;"&amp;F35)+COUNTIFS($H$2:H35,"Yes",$F$2:F35,F35),"")</f>
        <v>17</v>
      </c>
      <c r="J35" s="7" t="str">
        <f t="shared" si="2"/>
        <v/>
      </c>
      <c r="K35" s="4" t="str">
        <f t="shared" si="1"/>
        <v>$0-$50</v>
      </c>
    </row>
    <row r="36" spans="1:11" hidden="1">
      <c r="A36" s="1" t="s">
        <v>139</v>
      </c>
      <c r="B36" s="1" t="s">
        <v>140</v>
      </c>
      <c r="C36" s="4">
        <v>1.1480000000000001E-2</v>
      </c>
      <c r="D36" s="3">
        <v>1.1299999999999999E-2</v>
      </c>
      <c r="E36" s="7">
        <v>109130000</v>
      </c>
      <c r="F36" s="7">
        <v>6571559</v>
      </c>
      <c r="G36" s="6">
        <v>9500000000</v>
      </c>
      <c r="H3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36" s="15" t="str">
        <f>IF(H36="Yes",COUNTIFS($H$2:$H$201,"Yes",$F$2:$F$201,"&gt;"&amp;F36)+COUNTIFS($H$2:H36,"Yes",$F$2:F36,F36),"")</f>
        <v/>
      </c>
      <c r="J36" s="7" t="str">
        <f t="shared" si="2"/>
        <v/>
      </c>
      <c r="K36" s="4" t="str">
        <f t="shared" si="1"/>
        <v>$0-$50</v>
      </c>
    </row>
    <row r="37" spans="1:11" hidden="1">
      <c r="A37" s="1" t="s">
        <v>143</v>
      </c>
      <c r="B37" s="1" t="s">
        <v>144</v>
      </c>
      <c r="C37" s="4">
        <v>0.15359999999999999</v>
      </c>
      <c r="D37" s="3">
        <v>1.01E-2</v>
      </c>
      <c r="E37" s="7">
        <v>109060000</v>
      </c>
      <c r="F37" s="7">
        <v>11365168</v>
      </c>
      <c r="G37" s="6">
        <v>709980000</v>
      </c>
      <c r="H3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37" s="15" t="str">
        <f>IF(H37="Yes",COUNTIFS($H$2:$H$201,"Yes",$F$2:$F$201,"&gt;"&amp;F37)+COUNTIFS($H$2:H37,"Yes",$F$2:F37,F37),"")</f>
        <v/>
      </c>
      <c r="J37" s="7" t="str">
        <f t="shared" si="2"/>
        <v/>
      </c>
      <c r="K37" s="4" t="str">
        <f t="shared" si="1"/>
        <v>$0-$50</v>
      </c>
    </row>
    <row r="38" spans="1:11" hidden="1">
      <c r="A38" s="1" t="s">
        <v>147</v>
      </c>
      <c r="B38" s="1" t="s">
        <v>148</v>
      </c>
      <c r="C38" s="4">
        <v>0.16800000000000001</v>
      </c>
      <c r="D38" s="3">
        <v>2.8999999999999998E-3</v>
      </c>
      <c r="E38" s="7">
        <v>108680000</v>
      </c>
      <c r="F38" s="7">
        <v>44129611</v>
      </c>
      <c r="G38" s="6">
        <v>646860000</v>
      </c>
      <c r="H3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38" s="15" t="str">
        <f>IF(H38="Yes",COUNTIFS($H$2:$H$201,"Yes",$F$2:$F$201,"&gt;"&amp;F38)+COUNTIFS($H$2:H38,"Yes",$F$2:F38,F38),"")</f>
        <v/>
      </c>
      <c r="J38" s="7" t="str">
        <f t="shared" si="2"/>
        <v/>
      </c>
      <c r="K38" s="4" t="str">
        <f t="shared" si="1"/>
        <v>$0-$50</v>
      </c>
    </row>
    <row r="39" spans="1:11" hidden="1">
      <c r="A39" s="1" t="s">
        <v>151</v>
      </c>
      <c r="B39" s="1" t="s">
        <v>152</v>
      </c>
      <c r="C39" s="4">
        <v>0.1111</v>
      </c>
      <c r="D39" s="3">
        <v>7.0999999999999995E-3</v>
      </c>
      <c r="E39" s="7">
        <v>108350000</v>
      </c>
      <c r="F39" s="7">
        <v>1068402</v>
      </c>
      <c r="G39" s="6">
        <v>974940000</v>
      </c>
      <c r="H3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39" s="15">
        <f>IF(H39="Yes",COUNTIFS($H$2:$H$201,"Yes",$F$2:$F$201,"&gt;"&amp;F39)+COUNTIFS($H$2:H39,"Yes",$F$2:F39,F39),"")</f>
        <v>38</v>
      </c>
      <c r="J39" s="7" t="str">
        <f t="shared" si="2"/>
        <v/>
      </c>
      <c r="K39" s="4" t="str">
        <f t="shared" si="1"/>
        <v>$0-$50</v>
      </c>
    </row>
    <row r="40" spans="1:11" hidden="1">
      <c r="A40" s="1" t="s">
        <v>155</v>
      </c>
      <c r="B40" s="1" t="s">
        <v>156</v>
      </c>
      <c r="C40" s="4">
        <v>0.1537</v>
      </c>
      <c r="D40" s="3">
        <v>5.4000000000000003E-3</v>
      </c>
      <c r="E40" s="7">
        <v>108020000</v>
      </c>
      <c r="F40" s="7">
        <v>7215924</v>
      </c>
      <c r="G40" s="6">
        <v>702770000</v>
      </c>
      <c r="H4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40" s="15" t="str">
        <f>IF(H40="Yes",COUNTIFS($H$2:$H$201,"Yes",$F$2:$F$201,"&gt;"&amp;F40)+COUNTIFS($H$2:H40,"Yes",$F$2:F40,F40),"")</f>
        <v/>
      </c>
      <c r="J40" s="7" t="str">
        <f t="shared" si="2"/>
        <v/>
      </c>
      <c r="K40" s="4" t="str">
        <f t="shared" si="1"/>
        <v>$0-$50</v>
      </c>
    </row>
    <row r="41" spans="1:11" hidden="1">
      <c r="A41" s="1" t="s">
        <v>159</v>
      </c>
      <c r="B41" s="1" t="s">
        <v>160</v>
      </c>
      <c r="C41" s="4">
        <v>1.813E-2</v>
      </c>
      <c r="D41" s="3">
        <v>1.5900000000000001E-2</v>
      </c>
      <c r="E41" s="7">
        <v>107060000</v>
      </c>
      <c r="F41" s="7">
        <v>8143928</v>
      </c>
      <c r="G41" s="6">
        <v>5900000000</v>
      </c>
      <c r="H4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41" s="15" t="str">
        <f>IF(H41="Yes",COUNTIFS($H$2:$H$201,"Yes",$F$2:$F$201,"&gt;"&amp;F41)+COUNTIFS($H$2:H41,"Yes",$F$2:F41,F41),"")</f>
        <v/>
      </c>
      <c r="J41" s="7" t="str">
        <f t="shared" si="2"/>
        <v/>
      </c>
      <c r="K41" s="4" t="str">
        <f t="shared" si="1"/>
        <v>$0-$50</v>
      </c>
    </row>
    <row r="42" spans="1:11">
      <c r="A42" s="1" t="s">
        <v>163</v>
      </c>
      <c r="B42" s="1" t="s">
        <v>164</v>
      </c>
      <c r="C42" s="4">
        <v>7.1980000000000002E-2</v>
      </c>
      <c r="D42" s="3">
        <v>1.1399999999999999E-2</v>
      </c>
      <c r="E42" s="7">
        <v>72720000</v>
      </c>
      <c r="F42" s="7">
        <v>25758134</v>
      </c>
      <c r="G42" s="6">
        <v>1010000000</v>
      </c>
      <c r="H4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42" s="15">
        <f>IF(H42="Yes",COUNTIFS($H$2:$H$201,"Yes",$F$2:$F$201,"&gt;"&amp;F42)+COUNTIFS($H$2:H42,"Yes",$F$2:F42,F42),"")</f>
        <v>8</v>
      </c>
      <c r="J42" s="7" t="str">
        <f t="shared" si="2"/>
        <v>Top 10</v>
      </c>
      <c r="K42" s="4" t="str">
        <f t="shared" si="1"/>
        <v>$0-$50</v>
      </c>
    </row>
    <row r="43" spans="1:11" hidden="1">
      <c r="A43" s="1" t="s">
        <v>167</v>
      </c>
      <c r="B43" s="1" t="s">
        <v>168</v>
      </c>
      <c r="C43" s="4">
        <v>0.73740000000000006</v>
      </c>
      <c r="D43" s="3">
        <v>6.8999999999999999E-3</v>
      </c>
      <c r="E43" s="7">
        <v>72680000</v>
      </c>
      <c r="F43" s="7">
        <v>522812</v>
      </c>
      <c r="G43" s="6">
        <v>98550000</v>
      </c>
      <c r="H4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43" s="15">
        <f>IF(H43="Yes",COUNTIFS($H$2:$H$201,"Yes",$F$2:$F$201,"&gt;"&amp;F43)+COUNTIFS($H$2:H43,"Yes",$F$2:F43,F43),"")</f>
        <v>48</v>
      </c>
      <c r="J43" s="7" t="str">
        <f t="shared" si="2"/>
        <v/>
      </c>
      <c r="K43" s="4" t="str">
        <f t="shared" si="1"/>
        <v>$0-$50</v>
      </c>
    </row>
    <row r="44" spans="1:11" hidden="1">
      <c r="A44" s="1" t="s">
        <v>171</v>
      </c>
      <c r="B44" s="1" t="s">
        <v>172</v>
      </c>
      <c r="C44" s="4">
        <v>1.5169999999999999E-3</v>
      </c>
      <c r="D44" s="3">
        <v>1.8799999999999997E-2</v>
      </c>
      <c r="E44" s="7">
        <v>72350000</v>
      </c>
      <c r="F44" s="7">
        <v>15717380</v>
      </c>
      <c r="G44" s="6">
        <v>47670000000</v>
      </c>
      <c r="H4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44" s="15" t="str">
        <f>IF(H44="Yes",COUNTIFS($H$2:$H$201,"Yes",$F$2:$F$201,"&gt;"&amp;F44)+COUNTIFS($H$2:H44,"Yes",$F$2:F44,F44),"")</f>
        <v/>
      </c>
      <c r="J44" s="7" t="str">
        <f t="shared" si="2"/>
        <v/>
      </c>
      <c r="K44" s="4" t="str">
        <f t="shared" si="1"/>
        <v>$0-$50</v>
      </c>
    </row>
    <row r="45" spans="1:11" hidden="1">
      <c r="A45" s="1" t="s">
        <v>175</v>
      </c>
      <c r="B45" s="1" t="s">
        <v>176</v>
      </c>
      <c r="C45" s="4">
        <v>0.15379999999999999</v>
      </c>
      <c r="D45" s="3">
        <v>1.4000000000000002E-3</v>
      </c>
      <c r="E45" s="7">
        <v>72360000</v>
      </c>
      <c r="F45" s="7">
        <v>4873644</v>
      </c>
      <c r="G45" s="6">
        <v>470440000</v>
      </c>
      <c r="H4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45" s="15" t="str">
        <f>IF(H45="Yes",COUNTIFS($H$2:$H$201,"Yes",$F$2:$F$201,"&gt;"&amp;F45)+COUNTIFS($H$2:H45,"Yes",$F$2:F45,F45),"")</f>
        <v/>
      </c>
      <c r="J45" s="7" t="str">
        <f t="shared" si="2"/>
        <v/>
      </c>
      <c r="K45" s="4" t="str">
        <f t="shared" si="1"/>
        <v>$0-$50</v>
      </c>
    </row>
    <row r="46" spans="1:11" hidden="1">
      <c r="A46" s="1" t="s">
        <v>179</v>
      </c>
      <c r="B46" s="1" t="s">
        <v>180</v>
      </c>
      <c r="C46" s="4">
        <v>1.5440000000000001E-2</v>
      </c>
      <c r="D46" s="3">
        <v>1.7000000000000001E-3</v>
      </c>
      <c r="E46" s="7">
        <v>72370000</v>
      </c>
      <c r="F46" s="7">
        <v>1356568</v>
      </c>
      <c r="G46" s="6">
        <v>4680000000</v>
      </c>
      <c r="H4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46" s="15">
        <f>IF(H46="Yes",COUNTIFS($H$2:$H$201,"Yes",$F$2:$F$201,"&gt;"&amp;F46)+COUNTIFS($H$2:H46,"Yes",$F$2:F46,F46),"")</f>
        <v>35</v>
      </c>
      <c r="J46" s="7" t="str">
        <f t="shared" si="2"/>
        <v/>
      </c>
      <c r="K46" s="4" t="str">
        <f t="shared" si="1"/>
        <v>$0-$50</v>
      </c>
    </row>
    <row r="47" spans="1:11" hidden="1">
      <c r="A47" s="1" t="s">
        <v>183</v>
      </c>
      <c r="B47" s="1" t="s">
        <v>184</v>
      </c>
      <c r="C47" s="4">
        <v>9.5740000000000006E-2</v>
      </c>
      <c r="D47" s="3">
        <v>1.09E-2</v>
      </c>
      <c r="E47" s="7">
        <v>71810000</v>
      </c>
      <c r="F47" s="7">
        <v>9190572</v>
      </c>
      <c r="G47" s="6">
        <v>749990000</v>
      </c>
      <c r="H4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47" s="15">
        <f>IF(H47="Yes",COUNTIFS($H$2:$H$201,"Yes",$F$2:$F$201,"&gt;"&amp;F47)+COUNTIFS($H$2:H47,"Yes",$F$2:F47,F47),"")</f>
        <v>13</v>
      </c>
      <c r="J47" s="7" t="str">
        <f t="shared" si="2"/>
        <v/>
      </c>
      <c r="K47" s="4" t="str">
        <f t="shared" si="1"/>
        <v>$0-$50</v>
      </c>
    </row>
    <row r="48" spans="1:11" hidden="1">
      <c r="A48" s="1" t="s">
        <v>187</v>
      </c>
      <c r="B48" s="1" t="s">
        <v>188</v>
      </c>
      <c r="C48" s="4">
        <v>3.2290000000000001E-3</v>
      </c>
      <c r="D48" s="3">
        <v>3.4200000000000001E-2</v>
      </c>
      <c r="E48" s="7">
        <v>71330000</v>
      </c>
      <c r="F48" s="7">
        <v>7399528</v>
      </c>
      <c r="G48" s="6">
        <v>22090000000</v>
      </c>
      <c r="H4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48" s="15">
        <f>IF(H48="Yes",COUNTIFS($H$2:$H$201,"Yes",$F$2:$F$201,"&gt;"&amp;F48)+COUNTIFS($H$2:H48,"Yes",$F$2:F48,F48),"")</f>
        <v>15</v>
      </c>
      <c r="J48" s="7" t="str">
        <f t="shared" si="2"/>
        <v/>
      </c>
      <c r="K48" s="4" t="str">
        <f t="shared" si="1"/>
        <v>$0-$50</v>
      </c>
    </row>
    <row r="49" spans="1:11" hidden="1">
      <c r="A49" s="1" t="s">
        <v>191</v>
      </c>
      <c r="B49" s="1" t="s">
        <v>192</v>
      </c>
      <c r="C49" s="4">
        <v>7.8759999999999997E-2</v>
      </c>
      <c r="D49" s="3">
        <v>1.61E-2</v>
      </c>
      <c r="E49" s="7">
        <v>71270000</v>
      </c>
      <c r="F49" s="7">
        <v>12716009</v>
      </c>
      <c r="G49" s="6">
        <v>904860000</v>
      </c>
      <c r="H4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49" s="15">
        <f>IF(H49="Yes",COUNTIFS($H$2:$H$201,"Yes",$F$2:$F$201,"&gt;"&amp;F49)+COUNTIFS($H$2:H49,"Yes",$F$2:F49,F49),"")</f>
        <v>12</v>
      </c>
      <c r="J49" s="7" t="str">
        <f t="shared" si="2"/>
        <v/>
      </c>
      <c r="K49" s="4" t="str">
        <f t="shared" si="1"/>
        <v>$0-$50</v>
      </c>
    </row>
    <row r="50" spans="1:11" hidden="1">
      <c r="A50" s="1" t="s">
        <v>195</v>
      </c>
      <c r="B50" s="1" t="s">
        <v>196</v>
      </c>
      <c r="C50" s="4">
        <v>4.2049999999999997E-2</v>
      </c>
      <c r="D50" s="3">
        <v>2.4399999999999998E-2</v>
      </c>
      <c r="E50" s="7">
        <v>71500000</v>
      </c>
      <c r="F50" s="7">
        <v>135025163</v>
      </c>
      <c r="G50" s="6">
        <v>1700000000</v>
      </c>
      <c r="H5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50" s="15" t="str">
        <f>IF(H50="Yes",COUNTIFS($H$2:$H$201,"Yes",$F$2:$F$201,"&gt;"&amp;F50)+COUNTIFS($H$2:H50,"Yes",$F$2:F50,F50),"")</f>
        <v/>
      </c>
      <c r="J50" s="7" t="str">
        <f t="shared" si="2"/>
        <v/>
      </c>
      <c r="K50" s="4" t="str">
        <f t="shared" si="1"/>
        <v>$0-$50</v>
      </c>
    </row>
    <row r="51" spans="1:11" hidden="1">
      <c r="A51" s="1" t="s">
        <v>199</v>
      </c>
      <c r="B51" s="1" t="s">
        <v>200</v>
      </c>
      <c r="C51" s="4">
        <v>5.9470000000000002E-2</v>
      </c>
      <c r="D51" s="3">
        <v>2.0000000000000001E-4</v>
      </c>
      <c r="E51" s="7">
        <v>71470000</v>
      </c>
      <c r="F51" s="7">
        <v>12909</v>
      </c>
      <c r="G51" s="6">
        <v>1200000000</v>
      </c>
      <c r="H5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51" s="15" t="str">
        <f>IF(H51="Yes",COUNTIFS($H$2:$H$201,"Yes",$F$2:$F$201,"&gt;"&amp;F51)+COUNTIFS($H$2:H51,"Yes",$F$2:F51,F51),"")</f>
        <v/>
      </c>
      <c r="J51" s="7" t="str">
        <f t="shared" si="2"/>
        <v/>
      </c>
      <c r="K51" s="4" t="str">
        <f t="shared" si="1"/>
        <v>$0-$50</v>
      </c>
    </row>
    <row r="52" spans="1:11" hidden="1">
      <c r="A52" s="1" t="s">
        <v>203</v>
      </c>
      <c r="B52" s="1" t="s">
        <v>204</v>
      </c>
      <c r="C52" s="4">
        <v>6.2719999999999998E-3</v>
      </c>
      <c r="D52" s="3">
        <v>5.3E-3</v>
      </c>
      <c r="E52" s="7">
        <v>56450000</v>
      </c>
      <c r="F52" s="7">
        <v>16850030</v>
      </c>
      <c r="G52" s="6">
        <v>8990000000</v>
      </c>
      <c r="H5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52" s="15" t="str">
        <f>IF(H52="Yes",COUNTIFS($H$2:$H$201,"Yes",$F$2:$F$201,"&gt;"&amp;F52)+COUNTIFS($H$2:H52,"Yes",$F$2:F52,F52),"")</f>
        <v/>
      </c>
      <c r="J52" s="7" t="str">
        <f t="shared" si="2"/>
        <v/>
      </c>
      <c r="K52" s="4" t="str">
        <f t="shared" si="1"/>
        <v>$0-$50</v>
      </c>
    </row>
    <row r="53" spans="1:11" hidden="1">
      <c r="A53" s="1" t="s">
        <v>207</v>
      </c>
      <c r="B53" s="1" t="s">
        <v>208</v>
      </c>
      <c r="C53" s="4">
        <v>6.6350000000000003E-3</v>
      </c>
      <c r="D53" s="3">
        <v>1.32E-2</v>
      </c>
      <c r="E53" s="7">
        <v>51760000</v>
      </c>
      <c r="F53" s="7">
        <v>448016</v>
      </c>
      <c r="G53" s="6">
        <v>7800000000</v>
      </c>
      <c r="H5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53" s="15" t="str">
        <f>IF(H53="Yes",COUNTIFS($H$2:$H$201,"Yes",$F$2:$F$201,"&gt;"&amp;F53)+COUNTIFS($H$2:H53,"Yes",$F$2:F53,F53),"")</f>
        <v/>
      </c>
      <c r="J53" s="7" t="str">
        <f t="shared" si="2"/>
        <v/>
      </c>
      <c r="K53" s="4" t="str">
        <f t="shared" si="1"/>
        <v>$0-$50</v>
      </c>
    </row>
    <row r="54" spans="1:11" hidden="1">
      <c r="A54" s="1" t="s">
        <v>211</v>
      </c>
      <c r="B54" s="1" t="s">
        <v>212</v>
      </c>
      <c r="C54" s="4">
        <v>1.1769999999999999E-2</v>
      </c>
      <c r="D54" s="3">
        <v>1.8E-3</v>
      </c>
      <c r="E54" s="7">
        <v>51500000</v>
      </c>
      <c r="F54" s="7">
        <v>817224</v>
      </c>
      <c r="G54" s="6">
        <v>4370000000</v>
      </c>
      <c r="H5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54" s="15">
        <f>IF(H54="Yes",COUNTIFS($H$2:$H$201,"Yes",$F$2:$F$201,"&gt;"&amp;F54)+COUNTIFS($H$2:H54,"Yes",$F$2:F54,F54),"")</f>
        <v>43</v>
      </c>
      <c r="J54" s="7" t="str">
        <f t="shared" si="2"/>
        <v/>
      </c>
      <c r="K54" s="4" t="str">
        <f t="shared" si="1"/>
        <v>$0-$50</v>
      </c>
    </row>
    <row r="55" spans="1:11" hidden="1">
      <c r="A55" s="1" t="s">
        <v>215</v>
      </c>
      <c r="B55" s="1" t="s">
        <v>216</v>
      </c>
      <c r="C55" s="4">
        <v>1.253E-3</v>
      </c>
      <c r="D55" s="3">
        <v>1.5300000000000001E-2</v>
      </c>
      <c r="E55" s="7">
        <v>51480000</v>
      </c>
      <c r="F55" s="7">
        <v>5590436</v>
      </c>
      <c r="G55" s="6">
        <v>41080000000</v>
      </c>
      <c r="H5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55" s="15" t="str">
        <f>IF(H55="Yes",COUNTIFS($H$2:$H$201,"Yes",$F$2:$F$201,"&gt;"&amp;F55)+COUNTIFS($H$2:H55,"Yes",$F$2:F55,F55),"")</f>
        <v/>
      </c>
      <c r="J55" s="7" t="str">
        <f t="shared" si="2"/>
        <v/>
      </c>
      <c r="K55" s="4" t="str">
        <f t="shared" si="1"/>
        <v>$0-$50</v>
      </c>
    </row>
    <row r="56" spans="1:11" hidden="1">
      <c r="A56" s="1" t="s">
        <v>219</v>
      </c>
      <c r="B56" s="1" t="s">
        <v>220</v>
      </c>
      <c r="C56" s="4">
        <v>8.6260000000000003E-2</v>
      </c>
      <c r="D56" s="3">
        <v>9.1999999999999998E-3</v>
      </c>
      <c r="E56" s="7">
        <v>51370000</v>
      </c>
      <c r="F56" s="7">
        <v>2536218</v>
      </c>
      <c r="G56" s="6">
        <v>595520000</v>
      </c>
      <c r="H5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56" s="15" t="str">
        <f>IF(H56="Yes",COUNTIFS($H$2:$H$201,"Yes",$F$2:$F$201,"&gt;"&amp;F56)+COUNTIFS($H$2:H56,"Yes",$F$2:F56,F56),"")</f>
        <v/>
      </c>
      <c r="J56" s="7" t="str">
        <f t="shared" si="2"/>
        <v/>
      </c>
      <c r="K56" s="4" t="str">
        <f t="shared" si="1"/>
        <v>$0-$50</v>
      </c>
    </row>
    <row r="57" spans="1:11">
      <c r="A57" s="1" t="s">
        <v>223</v>
      </c>
      <c r="B57" s="1" t="s">
        <v>224</v>
      </c>
      <c r="C57" s="4">
        <v>1.1499999999999999</v>
      </c>
      <c r="D57" s="3">
        <v>7.000000000000001E-4</v>
      </c>
      <c r="E57" s="7">
        <v>51310000</v>
      </c>
      <c r="F57" s="7">
        <v>22680605</v>
      </c>
      <c r="G57" s="6">
        <v>44520000</v>
      </c>
      <c r="H5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57" s="15">
        <f>IF(H57="Yes",COUNTIFS($H$2:$H$201,"Yes",$F$2:$F$201,"&gt;"&amp;F57)+COUNTIFS($H$2:H57,"Yes",$F$2:F57,F57),"")</f>
        <v>10</v>
      </c>
      <c r="J57" s="7" t="str">
        <f t="shared" si="2"/>
        <v>Top 10</v>
      </c>
      <c r="K57" s="4" t="str">
        <f t="shared" si="1"/>
        <v>$0-$50</v>
      </c>
    </row>
    <row r="58" spans="1:11" hidden="1">
      <c r="A58" s="1" t="s">
        <v>227</v>
      </c>
      <c r="B58" s="1" t="s">
        <v>228</v>
      </c>
      <c r="C58" s="4">
        <v>5.1249999999999999E-5</v>
      </c>
      <c r="D58" s="3">
        <v>5.6999999999999993E-3</v>
      </c>
      <c r="E58" s="7">
        <v>51260000</v>
      </c>
      <c r="F58" s="7">
        <v>1414981</v>
      </c>
      <c r="G58" s="6" t="s">
        <v>750</v>
      </c>
      <c r="H5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58" s="15">
        <f>IF(H58="Yes",COUNTIFS($H$2:$H$201,"Yes",$F$2:$F$201,"&gt;"&amp;F58)+COUNTIFS($H$2:H58,"Yes",$F$2:F58,F58),"")</f>
        <v>33</v>
      </c>
      <c r="J58" s="7" t="str">
        <f t="shared" si="2"/>
        <v/>
      </c>
      <c r="K58" s="4" t="str">
        <f t="shared" si="1"/>
        <v>$0-$50</v>
      </c>
    </row>
    <row r="59" spans="1:11" hidden="1">
      <c r="A59" s="1" t="s">
        <v>231</v>
      </c>
      <c r="B59" s="1" t="s">
        <v>232</v>
      </c>
      <c r="C59" s="4">
        <v>2.875E-3</v>
      </c>
      <c r="D59" s="3">
        <v>4.5000000000000005E-3</v>
      </c>
      <c r="E59" s="7">
        <v>50980000</v>
      </c>
      <c r="F59" s="7">
        <v>3358220</v>
      </c>
      <c r="G59" s="6">
        <v>17720000000</v>
      </c>
      <c r="H5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59" s="15" t="str">
        <f>IF(H59="Yes",COUNTIFS($H$2:$H$201,"Yes",$F$2:$F$201,"&gt;"&amp;F59)+COUNTIFS($H$2:H59,"Yes",$F$2:F59,F59),"")</f>
        <v/>
      </c>
      <c r="J59" s="7" t="str">
        <f t="shared" si="2"/>
        <v/>
      </c>
      <c r="K59" s="4" t="str">
        <f t="shared" si="1"/>
        <v>$0-$50</v>
      </c>
    </row>
    <row r="60" spans="1:11" hidden="1">
      <c r="A60" s="1" t="s">
        <v>235</v>
      </c>
      <c r="B60" s="1" t="s">
        <v>236</v>
      </c>
      <c r="C60" s="4">
        <v>9.67</v>
      </c>
      <c r="D60" s="3">
        <v>1E-3</v>
      </c>
      <c r="E60" s="7">
        <v>50880000</v>
      </c>
      <c r="F60" s="7">
        <v>101491</v>
      </c>
      <c r="G60" s="6">
        <v>5260000</v>
      </c>
      <c r="H6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60" s="15" t="str">
        <f>IF(H60="Yes",COUNTIFS($H$2:$H$201,"Yes",$F$2:$F$201,"&gt;"&amp;F60)+COUNTIFS($H$2:H60,"Yes",$F$2:F60,F60),"")</f>
        <v/>
      </c>
      <c r="J60" s="7" t="str">
        <f t="shared" si="2"/>
        <v/>
      </c>
      <c r="K60" s="4" t="str">
        <f t="shared" si="1"/>
        <v>$0-$50</v>
      </c>
    </row>
    <row r="61" spans="1:11" hidden="1">
      <c r="A61" s="1" t="s">
        <v>239</v>
      </c>
      <c r="B61" s="1" t="s">
        <v>240</v>
      </c>
      <c r="C61" s="4">
        <v>90.45</v>
      </c>
      <c r="D61" s="3">
        <v>2.8199999999999999E-2</v>
      </c>
      <c r="E61" s="7">
        <v>50560000</v>
      </c>
      <c r="F61" s="7">
        <v>21125</v>
      </c>
      <c r="G61" s="6" t="s">
        <v>750</v>
      </c>
      <c r="H6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61" s="15">
        <f>IF(H61="Yes",COUNTIFS($H$2:$H$201,"Yes",$F$2:$F$201,"&gt;"&amp;F61)+COUNTIFS($H$2:H61,"Yes",$F$2:F61,F61),"")</f>
        <v>73</v>
      </c>
      <c r="J61" s="7" t="str">
        <f t="shared" si="2"/>
        <v/>
      </c>
      <c r="K61" s="4" t="str">
        <f t="shared" si="1"/>
        <v>Above $50</v>
      </c>
    </row>
    <row r="62" spans="1:11" hidden="1">
      <c r="A62" s="1" t="s">
        <v>243</v>
      </c>
      <c r="B62" s="1" t="s">
        <v>244</v>
      </c>
      <c r="C62" s="4">
        <v>0.30309999999999998</v>
      </c>
      <c r="D62" s="3">
        <v>1.7299999999999999E-2</v>
      </c>
      <c r="E62" s="7">
        <v>37100000</v>
      </c>
      <c r="F62" s="7">
        <v>17173</v>
      </c>
      <c r="G62" s="6">
        <v>122340000</v>
      </c>
      <c r="H6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62" s="15" t="str">
        <f>IF(H62="Yes",COUNTIFS($H$2:$H$201,"Yes",$F$2:$F$201,"&gt;"&amp;F62)+COUNTIFS($H$2:H62,"Yes",$F$2:F62,F62),"")</f>
        <v/>
      </c>
      <c r="J62" s="7" t="str">
        <f t="shared" si="2"/>
        <v/>
      </c>
      <c r="K62" s="4" t="str">
        <f t="shared" si="1"/>
        <v>$0-$50</v>
      </c>
    </row>
    <row r="63" spans="1:11" hidden="1">
      <c r="A63" s="1" t="s">
        <v>247</v>
      </c>
      <c r="B63" s="1" t="s">
        <v>248</v>
      </c>
      <c r="C63" s="4">
        <v>1.26</v>
      </c>
      <c r="D63" s="3">
        <v>3.0999999999999999E-3</v>
      </c>
      <c r="E63" s="7">
        <v>36940000</v>
      </c>
      <c r="F63" s="7">
        <v>1913531</v>
      </c>
      <c r="G63" s="6">
        <v>29270000</v>
      </c>
      <c r="H6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63" s="15" t="str">
        <f>IF(H63="Yes",COUNTIFS($H$2:$H$201,"Yes",$F$2:$F$201,"&gt;"&amp;F63)+COUNTIFS($H$2:H63,"Yes",$F$2:F63,F63),"")</f>
        <v/>
      </c>
      <c r="J63" s="7" t="str">
        <f t="shared" si="2"/>
        <v/>
      </c>
      <c r="K63" s="4" t="str">
        <f t="shared" si="1"/>
        <v>$0-$50</v>
      </c>
    </row>
    <row r="64" spans="1:11" hidden="1">
      <c r="A64" s="1" t="s">
        <v>251</v>
      </c>
      <c r="B64" s="1" t="s">
        <v>252</v>
      </c>
      <c r="C64" s="4">
        <v>0.53610000000000002</v>
      </c>
      <c r="D64" s="3">
        <v>4.8999999999999998E-3</v>
      </c>
      <c r="E64" s="7">
        <v>36900000</v>
      </c>
      <c r="F64" s="7">
        <v>5008504</v>
      </c>
      <c r="G64" s="6">
        <v>68830000</v>
      </c>
      <c r="H6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64" s="15">
        <f>IF(H64="Yes",COUNTIFS($H$2:$H$201,"Yes",$F$2:$F$201,"&gt;"&amp;F64)+COUNTIFS($H$2:H64,"Yes",$F$2:F64,F64),"")</f>
        <v>18</v>
      </c>
      <c r="J64" s="7" t="str">
        <f t="shared" si="2"/>
        <v/>
      </c>
      <c r="K64" s="4" t="str">
        <f t="shared" si="1"/>
        <v>$0-$50</v>
      </c>
    </row>
    <row r="65" spans="1:11" hidden="1">
      <c r="A65" s="1" t="s">
        <v>255</v>
      </c>
      <c r="B65" s="1" t="s">
        <v>256</v>
      </c>
      <c r="C65" s="4">
        <v>1.245E-3</v>
      </c>
      <c r="D65" s="3">
        <v>2.5000000000000001E-3</v>
      </c>
      <c r="E65" s="7">
        <v>36780000</v>
      </c>
      <c r="F65" s="7">
        <v>1669915</v>
      </c>
      <c r="G65" s="6">
        <v>29540000000</v>
      </c>
      <c r="H6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65" s="15">
        <f>IF(H65="Yes",COUNTIFS($H$2:$H$201,"Yes",$F$2:$F$201,"&gt;"&amp;F65)+COUNTIFS($H$2:H65,"Yes",$F$2:F65,F65),"")</f>
        <v>30</v>
      </c>
      <c r="J65" s="7" t="str">
        <f t="shared" si="2"/>
        <v/>
      </c>
      <c r="K65" s="4" t="str">
        <f t="shared" si="1"/>
        <v>$0-$50</v>
      </c>
    </row>
    <row r="66" spans="1:11" hidden="1">
      <c r="A66" s="1" t="s">
        <v>259</v>
      </c>
      <c r="B66" s="1" t="s">
        <v>260</v>
      </c>
      <c r="C66" s="4">
        <v>1.4970000000000001E-2</v>
      </c>
      <c r="D66" s="3">
        <v>4.0000000000000002E-4</v>
      </c>
      <c r="E66" s="7">
        <v>36730000</v>
      </c>
      <c r="F66" s="7">
        <v>260802</v>
      </c>
      <c r="G66" s="6">
        <v>2450000000</v>
      </c>
      <c r="H6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66" s="15" t="str">
        <f>IF(H66="Yes",COUNTIFS($H$2:$H$201,"Yes",$F$2:$F$201,"&gt;"&amp;F66)+COUNTIFS($H$2:H66,"Yes",$F$2:F66,F66),"")</f>
        <v/>
      </c>
      <c r="J66" s="7" t="str">
        <f t="shared" ref="J66:J97" si="3">IF(AND(H66="Yes",F66&lt;&gt;"",ISNUMBER(F66),I66&gt;=1,I66&lt;=10),"Top 10","")</f>
        <v/>
      </c>
      <c r="K66" s="4" t="str">
        <f t="shared" si="1"/>
        <v>$0-$50</v>
      </c>
    </row>
    <row r="67" spans="1:11" hidden="1">
      <c r="A67" s="1" t="s">
        <v>263</v>
      </c>
      <c r="B67" s="1" t="s">
        <v>264</v>
      </c>
      <c r="C67" s="4">
        <v>2.13</v>
      </c>
      <c r="D67" s="3">
        <v>5.0000000000000001E-4</v>
      </c>
      <c r="E67" s="7">
        <v>36400000</v>
      </c>
      <c r="F67" s="7">
        <v>867656</v>
      </c>
      <c r="G67" s="6">
        <v>17070000</v>
      </c>
      <c r="H6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67" s="15">
        <f>IF(H67="Yes",COUNTIFS($H$2:$H$201,"Yes",$F$2:$F$201,"&gt;"&amp;F67)+COUNTIFS($H$2:H67,"Yes",$F$2:F67,F67),"")</f>
        <v>41</v>
      </c>
      <c r="J67" s="7" t="str">
        <f t="shared" si="3"/>
        <v/>
      </c>
      <c r="K67" s="4" t="str">
        <f t="shared" ref="K67:K130" si="4">IF(C67&lt;=50,"$0-$50","Above $50")</f>
        <v>$0-$50</v>
      </c>
    </row>
    <row r="68" spans="1:11" hidden="1">
      <c r="A68" s="1" t="s">
        <v>267</v>
      </c>
      <c r="B68" s="1" t="s">
        <v>268</v>
      </c>
      <c r="C68" s="4">
        <v>2.5299999999999998</v>
      </c>
      <c r="D68" s="3">
        <v>4.4000000000000003E-3</v>
      </c>
      <c r="E68" s="7">
        <v>36370000</v>
      </c>
      <c r="F68" s="7">
        <v>2914375</v>
      </c>
      <c r="G68" s="6">
        <v>14340000</v>
      </c>
      <c r="H6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68" s="15">
        <f>IF(H68="Yes",COUNTIFS($H$2:$H$201,"Yes",$F$2:$F$201,"&gt;"&amp;F68)+COUNTIFS($H$2:H68,"Yes",$F$2:F68,F68),"")</f>
        <v>22</v>
      </c>
      <c r="J68" s="7" t="str">
        <f t="shared" si="3"/>
        <v/>
      </c>
      <c r="K68" s="4" t="str">
        <f t="shared" si="4"/>
        <v>$0-$50</v>
      </c>
    </row>
    <row r="69" spans="1:11" hidden="1">
      <c r="A69" s="1" t="s">
        <v>271</v>
      </c>
      <c r="B69" s="1" t="s">
        <v>272</v>
      </c>
      <c r="C69" s="4">
        <v>2.1000000000000001E-2</v>
      </c>
      <c r="D69" s="3">
        <v>8.0000000000000004E-4</v>
      </c>
      <c r="E69" s="7">
        <v>35980000</v>
      </c>
      <c r="F69" s="7">
        <v>252063</v>
      </c>
      <c r="G69" s="6">
        <v>1710000000</v>
      </c>
      <c r="H6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69" s="15" t="str">
        <f>IF(H69="Yes",COUNTIFS($H$2:$H$201,"Yes",$F$2:$F$201,"&gt;"&amp;F69)+COUNTIFS($H$2:H69,"Yes",$F$2:F69,F69),"")</f>
        <v/>
      </c>
      <c r="J69" s="7" t="str">
        <f t="shared" si="3"/>
        <v/>
      </c>
      <c r="K69" s="4" t="str">
        <f t="shared" si="4"/>
        <v>$0-$50</v>
      </c>
    </row>
    <row r="70" spans="1:11" hidden="1">
      <c r="A70" s="1" t="s">
        <v>275</v>
      </c>
      <c r="B70" s="1" t="s">
        <v>276</v>
      </c>
      <c r="C70" s="4">
        <v>0.2442</v>
      </c>
      <c r="D70" s="3">
        <v>3.2000000000000002E-3</v>
      </c>
      <c r="E70" s="7">
        <v>35960000</v>
      </c>
      <c r="F70" s="7">
        <v>3564164</v>
      </c>
      <c r="G70" s="6">
        <v>147240000</v>
      </c>
      <c r="H7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0" s="15" t="str">
        <f>IF(H70="Yes",COUNTIFS($H$2:$H$201,"Yes",$F$2:$F$201,"&gt;"&amp;F70)+COUNTIFS($H$2:H70,"Yes",$F$2:F70,F70),"")</f>
        <v/>
      </c>
      <c r="J70" s="7" t="str">
        <f t="shared" si="3"/>
        <v/>
      </c>
      <c r="K70" s="4" t="str">
        <f t="shared" si="4"/>
        <v>$0-$50</v>
      </c>
    </row>
    <row r="71" spans="1:11" hidden="1">
      <c r="A71" s="1" t="s">
        <v>279</v>
      </c>
      <c r="B71" s="1" t="s">
        <v>280</v>
      </c>
      <c r="C71" s="4">
        <v>0.33879999999999999</v>
      </c>
      <c r="D71" s="3">
        <v>6.8999999999999999E-3</v>
      </c>
      <c r="E71" s="7">
        <v>35840000</v>
      </c>
      <c r="F71" s="7">
        <v>8693511</v>
      </c>
      <c r="G71" s="6">
        <v>105760000</v>
      </c>
      <c r="H7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1" s="15" t="str">
        <f>IF(H71="Yes",COUNTIFS($H$2:$H$201,"Yes",$F$2:$F$201,"&gt;"&amp;F71)+COUNTIFS($H$2:H71,"Yes",$F$2:F71,F71),"")</f>
        <v/>
      </c>
      <c r="J71" s="7" t="str">
        <f t="shared" si="3"/>
        <v/>
      </c>
      <c r="K71" s="4" t="str">
        <f t="shared" si="4"/>
        <v>$0-$50</v>
      </c>
    </row>
    <row r="72" spans="1:11" hidden="1">
      <c r="A72" s="1" t="s">
        <v>283</v>
      </c>
      <c r="B72" s="1" t="s">
        <v>284</v>
      </c>
      <c r="C72" s="4">
        <v>0.29930000000000001</v>
      </c>
      <c r="D72" s="3">
        <v>1.5E-3</v>
      </c>
      <c r="E72" s="7">
        <v>26280000</v>
      </c>
      <c r="F72" s="7">
        <v>254347</v>
      </c>
      <c r="G72" s="6">
        <v>87800000</v>
      </c>
      <c r="H7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2" s="15" t="str">
        <f>IF(H72="Yes",COUNTIFS($H$2:$H$201,"Yes",$F$2:$F$201,"&gt;"&amp;F72)+COUNTIFS($H$2:H72,"Yes",$F$2:F72,F72),"")</f>
        <v/>
      </c>
      <c r="J72" s="7" t="str">
        <f t="shared" si="3"/>
        <v/>
      </c>
      <c r="K72" s="4" t="str">
        <f t="shared" si="4"/>
        <v>$0-$50</v>
      </c>
    </row>
    <row r="73" spans="1:11" hidden="1">
      <c r="A73" s="1" t="s">
        <v>287</v>
      </c>
      <c r="B73" s="1" t="s">
        <v>288</v>
      </c>
      <c r="C73" s="4">
        <v>0.1401</v>
      </c>
      <c r="D73" s="3">
        <v>1.77E-2</v>
      </c>
      <c r="E73" s="7">
        <v>26220000</v>
      </c>
      <c r="F73" s="7">
        <v>2161326</v>
      </c>
      <c r="G73" s="6">
        <v>187110000</v>
      </c>
      <c r="H7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3" s="15" t="str">
        <f>IF(H73="Yes",COUNTIFS($H$2:$H$201,"Yes",$F$2:$F$201,"&gt;"&amp;F73)+COUNTIFS($H$2:H73,"Yes",$F$2:F73,F73),"")</f>
        <v/>
      </c>
      <c r="J73" s="7" t="str">
        <f t="shared" si="3"/>
        <v/>
      </c>
      <c r="K73" s="4" t="str">
        <f t="shared" si="4"/>
        <v>$0-$50</v>
      </c>
    </row>
    <row r="74" spans="1:11" hidden="1">
      <c r="A74" s="1" t="s">
        <v>291</v>
      </c>
      <c r="B74" s="1" t="s">
        <v>292</v>
      </c>
      <c r="C74" s="4">
        <v>0.12790000000000001</v>
      </c>
      <c r="D74" s="3">
        <v>7.6E-3</v>
      </c>
      <c r="E74" s="7">
        <v>26070000</v>
      </c>
      <c r="F74" s="7">
        <v>33236555</v>
      </c>
      <c r="G74" s="6">
        <v>203750000</v>
      </c>
      <c r="H7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4" s="15" t="str">
        <f>IF(H74="Yes",COUNTIFS($H$2:$H$201,"Yes",$F$2:$F$201,"&gt;"&amp;F74)+COUNTIFS($H$2:H74,"Yes",$F$2:F74,F74),"")</f>
        <v/>
      </c>
      <c r="J74" s="7" t="str">
        <f t="shared" si="3"/>
        <v/>
      </c>
      <c r="K74" s="4" t="str">
        <f t="shared" si="4"/>
        <v>$0-$50</v>
      </c>
    </row>
    <row r="75" spans="1:11" hidden="1">
      <c r="A75" s="1" t="s">
        <v>295</v>
      </c>
      <c r="B75" s="1" t="s">
        <v>296</v>
      </c>
      <c r="C75" s="4">
        <v>0.5232</v>
      </c>
      <c r="D75" s="3">
        <v>2.1899999999999999E-2</v>
      </c>
      <c r="E75" s="7">
        <v>26150000</v>
      </c>
      <c r="F75" s="7">
        <v>5485485</v>
      </c>
      <c r="G75" s="6">
        <v>49970000</v>
      </c>
      <c r="H7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5" s="15" t="str">
        <f>IF(H75="Yes",COUNTIFS($H$2:$H$201,"Yes",$F$2:$F$201,"&gt;"&amp;F75)+COUNTIFS($H$2:H75,"Yes",$F$2:F75,F75),"")</f>
        <v/>
      </c>
      <c r="J75" s="7" t="str">
        <f t="shared" si="3"/>
        <v/>
      </c>
      <c r="K75" s="4" t="str">
        <f t="shared" si="4"/>
        <v>$0-$50</v>
      </c>
    </row>
    <row r="76" spans="1:11" hidden="1">
      <c r="A76" s="1" t="s">
        <v>299</v>
      </c>
      <c r="B76" s="1" t="s">
        <v>300</v>
      </c>
      <c r="C76" s="4">
        <v>3.9259999999999998E-3</v>
      </c>
      <c r="D76" s="3">
        <v>9.3999999999999986E-3</v>
      </c>
      <c r="E76" s="7">
        <v>25940000</v>
      </c>
      <c r="F76" s="7">
        <v>4157460</v>
      </c>
      <c r="G76" s="6">
        <v>6600000000</v>
      </c>
      <c r="H7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6" s="15" t="str">
        <f>IF(H76="Yes",COUNTIFS($H$2:$H$201,"Yes",$F$2:$F$201,"&gt;"&amp;F76)+COUNTIFS($H$2:H76,"Yes",$F$2:F76,F76),"")</f>
        <v/>
      </c>
      <c r="J76" s="7" t="str">
        <f t="shared" si="3"/>
        <v/>
      </c>
      <c r="K76" s="4" t="str">
        <f t="shared" si="4"/>
        <v>$0-$50</v>
      </c>
    </row>
    <row r="77" spans="1:11" hidden="1">
      <c r="A77" s="1" t="s">
        <v>303</v>
      </c>
      <c r="B77" s="1" t="s">
        <v>304</v>
      </c>
      <c r="C77" s="4">
        <v>5.6509999999999998E-2</v>
      </c>
      <c r="D77" s="3">
        <v>1.46E-2</v>
      </c>
      <c r="E77" s="7">
        <v>25850000</v>
      </c>
      <c r="F77" s="7">
        <v>3148017</v>
      </c>
      <c r="G77" s="6">
        <v>457310000</v>
      </c>
      <c r="H7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77" s="15" t="str">
        <f>IF(H77="Yes",COUNTIFS($H$2:$H$201,"Yes",$F$2:$F$201,"&gt;"&amp;F77)+COUNTIFS($H$2:H77,"Yes",$F$2:F77,F77),"")</f>
        <v/>
      </c>
      <c r="J77" s="7" t="str">
        <f t="shared" si="3"/>
        <v/>
      </c>
      <c r="K77" s="4" t="str">
        <f t="shared" si="4"/>
        <v>$0-$50</v>
      </c>
    </row>
    <row r="78" spans="1:11">
      <c r="A78" s="1" t="s">
        <v>307</v>
      </c>
      <c r="B78" s="1" t="s">
        <v>308</v>
      </c>
      <c r="C78" s="4">
        <v>8.3759999999999998E-3</v>
      </c>
      <c r="D78" s="3">
        <v>4.2699999999999995E-2</v>
      </c>
      <c r="E78" s="7">
        <v>25970000</v>
      </c>
      <c r="F78" s="7">
        <v>40860347</v>
      </c>
      <c r="G78" s="6">
        <v>3100000000</v>
      </c>
      <c r="H7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78" s="15">
        <f>IF(H78="Yes",COUNTIFS($H$2:$H$201,"Yes",$F$2:$F$201,"&gt;"&amp;F78)+COUNTIFS($H$2:H78,"Yes",$F$2:F78,F78),"")</f>
        <v>7</v>
      </c>
      <c r="J78" s="7" t="str">
        <f t="shared" si="3"/>
        <v>Top 10</v>
      </c>
      <c r="K78" s="4" t="str">
        <f t="shared" si="4"/>
        <v>$0-$50</v>
      </c>
    </row>
    <row r="79" spans="1:11" hidden="1">
      <c r="A79" s="1" t="s">
        <v>311</v>
      </c>
      <c r="B79" s="1" t="s">
        <v>312</v>
      </c>
      <c r="C79" s="4">
        <v>2.6540000000000001E-2</v>
      </c>
      <c r="D79" s="3">
        <v>3.3E-3</v>
      </c>
      <c r="E79" s="7">
        <v>25880000</v>
      </c>
      <c r="F79" s="7">
        <v>2231412</v>
      </c>
      <c r="G79" s="6">
        <v>974890000</v>
      </c>
      <c r="H7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79" s="15">
        <f>IF(H79="Yes",COUNTIFS($H$2:$H$201,"Yes",$F$2:$F$201,"&gt;"&amp;F79)+COUNTIFS($H$2:H79,"Yes",$F$2:F79,F79),"")</f>
        <v>27</v>
      </c>
      <c r="J79" s="7" t="str">
        <f t="shared" si="3"/>
        <v/>
      </c>
      <c r="K79" s="4" t="str">
        <f t="shared" si="4"/>
        <v>$0-$50</v>
      </c>
    </row>
    <row r="80" spans="1:11" hidden="1">
      <c r="A80" s="1" t="s">
        <v>315</v>
      </c>
      <c r="B80" s="1" t="s">
        <v>316</v>
      </c>
      <c r="C80" s="4">
        <v>0.18410000000000001</v>
      </c>
      <c r="D80" s="3">
        <v>1.8E-3</v>
      </c>
      <c r="E80" s="7">
        <v>25830000</v>
      </c>
      <c r="F80" s="7">
        <v>3675488</v>
      </c>
      <c r="G80" s="6">
        <v>140240000</v>
      </c>
      <c r="H8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80" s="15">
        <f>IF(H80="Yes",COUNTIFS($H$2:$H$201,"Yes",$F$2:$F$201,"&gt;"&amp;F80)+COUNTIFS($H$2:H80,"Yes",$F$2:F80,F80),"")</f>
        <v>20</v>
      </c>
      <c r="J80" s="7" t="str">
        <f t="shared" si="3"/>
        <v/>
      </c>
      <c r="K80" s="4" t="str">
        <f t="shared" si="4"/>
        <v>$0-$50</v>
      </c>
    </row>
    <row r="81" spans="1:11" hidden="1">
      <c r="A81" s="1" t="s">
        <v>319</v>
      </c>
      <c r="B81" s="1" t="s">
        <v>320</v>
      </c>
      <c r="C81" s="4">
        <v>2.085E-2</v>
      </c>
      <c r="D81" s="3">
        <v>1.26E-2</v>
      </c>
      <c r="E81" s="7">
        <v>25730000</v>
      </c>
      <c r="F81" s="7">
        <v>5290020</v>
      </c>
      <c r="G81" s="6">
        <v>1230000000</v>
      </c>
      <c r="H8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81" s="15" t="str">
        <f>IF(H81="Yes",COUNTIFS($H$2:$H$201,"Yes",$F$2:$F$201,"&gt;"&amp;F81)+COUNTIFS($H$2:H81,"Yes",$F$2:F81,F81),"")</f>
        <v/>
      </c>
      <c r="J81" s="7" t="str">
        <f t="shared" si="3"/>
        <v/>
      </c>
      <c r="K81" s="4" t="str">
        <f t="shared" si="4"/>
        <v>$0-$50</v>
      </c>
    </row>
    <row r="82" spans="1:11" hidden="1">
      <c r="A82" s="1" t="s">
        <v>323</v>
      </c>
      <c r="B82" s="1" t="s">
        <v>324</v>
      </c>
      <c r="C82" s="4">
        <v>2.2439999999999999E-3</v>
      </c>
      <c r="D82" s="3">
        <v>4.1999999999999997E-3</v>
      </c>
      <c r="E82" s="7">
        <v>19940000</v>
      </c>
      <c r="F82" s="7">
        <v>2554402</v>
      </c>
      <c r="G82" s="6">
        <v>8880000000</v>
      </c>
      <c r="H8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82" s="15" t="str">
        <f>IF(H82="Yes",COUNTIFS($H$2:$H$201,"Yes",$F$2:$F$201,"&gt;"&amp;F82)+COUNTIFS($H$2:H82,"Yes",$F$2:F82,F82),"")</f>
        <v/>
      </c>
      <c r="J82" s="7" t="str">
        <f t="shared" si="3"/>
        <v/>
      </c>
      <c r="K82" s="4" t="str">
        <f t="shared" si="4"/>
        <v>$0-$50</v>
      </c>
    </row>
    <row r="83" spans="1:11" hidden="1">
      <c r="A83" s="1" t="s">
        <v>327</v>
      </c>
      <c r="B83" s="1" t="s">
        <v>328</v>
      </c>
      <c r="C83" s="4">
        <v>2.0410000000000001E-2</v>
      </c>
      <c r="D83" s="3">
        <v>4.24E-2</v>
      </c>
      <c r="E83" s="7">
        <v>19770000</v>
      </c>
      <c r="F83" s="7">
        <v>174082</v>
      </c>
      <c r="G83" s="6">
        <v>968440000</v>
      </c>
      <c r="H8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83" s="15" t="str">
        <f>IF(H83="Yes",COUNTIFS($H$2:$H$201,"Yes",$F$2:$F$201,"&gt;"&amp;F83)+COUNTIFS($H$2:H83,"Yes",$F$2:F83,F83),"")</f>
        <v/>
      </c>
      <c r="J83" s="7" t="str">
        <f t="shared" si="3"/>
        <v/>
      </c>
      <c r="K83" s="4" t="str">
        <f t="shared" si="4"/>
        <v>$0-$50</v>
      </c>
    </row>
    <row r="84" spans="1:11" hidden="1">
      <c r="A84" s="1" t="s">
        <v>331</v>
      </c>
      <c r="B84" s="1" t="s">
        <v>332</v>
      </c>
      <c r="C84" s="4">
        <v>1.2229999999999999E-3</v>
      </c>
      <c r="D84" s="3">
        <v>2.0000000000000001E-4</v>
      </c>
      <c r="E84" s="7">
        <v>19740000</v>
      </c>
      <c r="F84" s="7">
        <v>362962</v>
      </c>
      <c r="G84" s="6">
        <v>16129999999.999998</v>
      </c>
      <c r="H8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84" s="15" t="str">
        <f>IF(H84="Yes",COUNTIFS($H$2:$H$201,"Yes",$F$2:$F$201,"&gt;"&amp;F84)+COUNTIFS($H$2:H84,"Yes",$F$2:F84,F84),"")</f>
        <v/>
      </c>
      <c r="J84" s="7" t="str">
        <f t="shared" si="3"/>
        <v/>
      </c>
      <c r="K84" s="4" t="str">
        <f t="shared" si="4"/>
        <v>$0-$50</v>
      </c>
    </row>
    <row r="85" spans="1:11" hidden="1">
      <c r="A85" s="1" t="s">
        <v>335</v>
      </c>
      <c r="B85" s="1" t="s">
        <v>336</v>
      </c>
      <c r="C85" s="4">
        <v>2.5230000000000001E-3</v>
      </c>
      <c r="D85" s="3">
        <v>1.24E-2</v>
      </c>
      <c r="E85" s="7">
        <v>19760000</v>
      </c>
      <c r="F85" s="7">
        <v>268389</v>
      </c>
      <c r="G85" s="6">
        <v>7820000000</v>
      </c>
      <c r="H8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85" s="15">
        <f>IF(H85="Yes",COUNTIFS($H$2:$H$201,"Yes",$F$2:$F$201,"&gt;"&amp;F85)+COUNTIFS($H$2:H85,"Yes",$F$2:F85,F85),"")</f>
        <v>53</v>
      </c>
      <c r="J85" s="7" t="str">
        <f t="shared" si="3"/>
        <v/>
      </c>
      <c r="K85" s="4" t="str">
        <f t="shared" si="4"/>
        <v>$0-$50</v>
      </c>
    </row>
    <row r="86" spans="1:11" hidden="1">
      <c r="A86" s="1" t="s">
        <v>339</v>
      </c>
      <c r="B86" s="1" t="s">
        <v>340</v>
      </c>
      <c r="C86" s="4">
        <v>3.288E-2</v>
      </c>
      <c r="D86" s="3">
        <v>1E-4</v>
      </c>
      <c r="E86" s="7">
        <v>19720000</v>
      </c>
      <c r="F86" s="7">
        <v>999710</v>
      </c>
      <c r="G86" s="6">
        <v>599630000</v>
      </c>
      <c r="H8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86" s="15">
        <f>IF(H86="Yes",COUNTIFS($H$2:$H$201,"Yes",$F$2:$F$201,"&gt;"&amp;F86)+COUNTIFS($H$2:H86,"Yes",$F$2:F86,F86),"")</f>
        <v>39</v>
      </c>
      <c r="J86" s="7" t="str">
        <f t="shared" si="3"/>
        <v/>
      </c>
      <c r="K86" s="4" t="str">
        <f t="shared" si="4"/>
        <v>$0-$50</v>
      </c>
    </row>
    <row r="87" spans="1:11" hidden="1">
      <c r="A87" s="1" t="s">
        <v>343</v>
      </c>
      <c r="B87" s="1" t="s">
        <v>344</v>
      </c>
      <c r="C87" s="4">
        <v>2.8809999999999999E-2</v>
      </c>
      <c r="D87" s="3">
        <v>2.9999999999999997E-4</v>
      </c>
      <c r="E87" s="7">
        <v>19600000</v>
      </c>
      <c r="F87" s="7">
        <v>47</v>
      </c>
      <c r="G87" s="6">
        <v>680000000</v>
      </c>
      <c r="H8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87" s="15">
        <f>IF(H87="Yes",COUNTIFS($H$2:$H$201,"Yes",$F$2:$F$201,"&gt;"&amp;F87)+COUNTIFS($H$2:H87,"Yes",$F$2:F87,F87),"")</f>
        <v>83</v>
      </c>
      <c r="J87" s="7" t="str">
        <f t="shared" si="3"/>
        <v/>
      </c>
      <c r="K87" s="4" t="str">
        <f t="shared" si="4"/>
        <v>$0-$50</v>
      </c>
    </row>
    <row r="88" spans="1:11" hidden="1">
      <c r="A88" s="1" t="s">
        <v>347</v>
      </c>
      <c r="B88" s="1" t="s">
        <v>348</v>
      </c>
      <c r="C88" s="4">
        <v>5.1970000000000002E-2</v>
      </c>
      <c r="D88" s="3">
        <v>1.04E-2</v>
      </c>
      <c r="E88" s="7">
        <v>19560000</v>
      </c>
      <c r="F88" s="7">
        <v>2452497</v>
      </c>
      <c r="G88" s="6">
        <v>376380000</v>
      </c>
      <c r="H8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88" s="15" t="str">
        <f>IF(H88="Yes",COUNTIFS($H$2:$H$201,"Yes",$F$2:$F$201,"&gt;"&amp;F88)+COUNTIFS($H$2:H88,"Yes",$F$2:F88,F88),"")</f>
        <v/>
      </c>
      <c r="J88" s="7" t="str">
        <f t="shared" si="3"/>
        <v/>
      </c>
      <c r="K88" s="4" t="str">
        <f t="shared" si="4"/>
        <v>$0-$50</v>
      </c>
    </row>
    <row r="89" spans="1:11" hidden="1">
      <c r="A89" s="1" t="s">
        <v>351</v>
      </c>
      <c r="B89" s="1" t="s">
        <v>352</v>
      </c>
      <c r="C89" s="4">
        <v>1.7489999999999999E-2</v>
      </c>
      <c r="D89" s="3">
        <v>5.5000000000000005E-3</v>
      </c>
      <c r="E89" s="7">
        <v>19550000</v>
      </c>
      <c r="F89" s="7">
        <v>45</v>
      </c>
      <c r="G89" s="6">
        <v>1110000000</v>
      </c>
      <c r="H8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89" s="15" t="str">
        <f>IF(H89="Yes",COUNTIFS($H$2:$H$201,"Yes",$F$2:$F$201,"&gt;"&amp;F89)+COUNTIFS($H$2:H89,"Yes",$F$2:F89,F89),"")</f>
        <v/>
      </c>
      <c r="J89" s="7" t="str">
        <f t="shared" si="3"/>
        <v/>
      </c>
      <c r="K89" s="4" t="str">
        <f t="shared" si="4"/>
        <v>$0-$50</v>
      </c>
    </row>
    <row r="90" spans="1:11" hidden="1">
      <c r="A90" s="1" t="s">
        <v>354</v>
      </c>
      <c r="B90" s="1" t="s">
        <v>355</v>
      </c>
      <c r="C90" s="4">
        <v>3.0099999999999998E-2</v>
      </c>
      <c r="D90" s="3">
        <v>1.5800000000000002E-2</v>
      </c>
      <c r="E90" s="7">
        <v>19510000</v>
      </c>
      <c r="F90" s="7">
        <v>2760725</v>
      </c>
      <c r="G90" s="6">
        <v>647870000</v>
      </c>
      <c r="H9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90" s="15">
        <f>IF(H90="Yes",COUNTIFS($H$2:$H$201,"Yes",$F$2:$F$201,"&gt;"&amp;F90)+COUNTIFS($H$2:H90,"Yes",$F$2:F90,F90),"")</f>
        <v>24</v>
      </c>
      <c r="J90" s="7" t="str">
        <f t="shared" si="3"/>
        <v/>
      </c>
      <c r="K90" s="4" t="str">
        <f t="shared" si="4"/>
        <v>$0-$50</v>
      </c>
    </row>
    <row r="91" spans="1:11" hidden="1">
      <c r="A91" s="1" t="s">
        <v>358</v>
      </c>
      <c r="B91" s="1" t="s">
        <v>359</v>
      </c>
      <c r="C91" s="4">
        <v>1.3899999999999999E-2</v>
      </c>
      <c r="D91" s="3">
        <v>5.5000000000000005E-3</v>
      </c>
      <c r="E91" s="7">
        <v>19470000</v>
      </c>
      <c r="F91" s="7">
        <v>7675089</v>
      </c>
      <c r="G91" s="6">
        <v>1400000000</v>
      </c>
      <c r="H9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91" s="15">
        <f>IF(H91="Yes",COUNTIFS($H$2:$H$201,"Yes",$F$2:$F$201,"&gt;"&amp;F91)+COUNTIFS($H$2:H91,"Yes",$F$2:F91,F91),"")</f>
        <v>14</v>
      </c>
      <c r="J91" s="7" t="str">
        <f t="shared" si="3"/>
        <v/>
      </c>
      <c r="K91" s="4" t="str">
        <f t="shared" si="4"/>
        <v>$0-$50</v>
      </c>
    </row>
    <row r="92" spans="1:11" hidden="1">
      <c r="A92" s="1" t="s">
        <v>362</v>
      </c>
      <c r="B92" s="1" t="s">
        <v>363</v>
      </c>
      <c r="C92" s="4">
        <v>4.41E-2</v>
      </c>
      <c r="D92" s="3">
        <v>9.5999999999999992E-3</v>
      </c>
      <c r="E92" s="7">
        <v>15610000</v>
      </c>
      <c r="F92" s="7">
        <v>4797522</v>
      </c>
      <c r="G92" s="6">
        <v>353950000</v>
      </c>
      <c r="H9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92" s="15" t="str">
        <f>IF(H92="Yes",COUNTIFS($H$2:$H$201,"Yes",$F$2:$F$201,"&gt;"&amp;F92)+COUNTIFS($H$2:H92,"Yes",$F$2:F92,F92),"")</f>
        <v/>
      </c>
      <c r="J92" s="7" t="str">
        <f t="shared" si="3"/>
        <v/>
      </c>
      <c r="K92" s="4" t="str">
        <f t="shared" si="4"/>
        <v>$0-$50</v>
      </c>
    </row>
    <row r="93" spans="1:11" hidden="1">
      <c r="A93" s="1" t="s">
        <v>366</v>
      </c>
      <c r="B93" s="1" t="s">
        <v>367</v>
      </c>
      <c r="C93" s="4">
        <v>1.8370000000000001E-2</v>
      </c>
      <c r="D93" s="3">
        <v>4.0000000000000001E-3</v>
      </c>
      <c r="E93" s="7">
        <v>15630000</v>
      </c>
      <c r="F93" s="7">
        <v>884405</v>
      </c>
      <c r="G93" s="6">
        <v>850960000</v>
      </c>
      <c r="H9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93" s="15" t="str">
        <f>IF(H93="Yes",COUNTIFS($H$2:$H$201,"Yes",$F$2:$F$201,"&gt;"&amp;F93)+COUNTIFS($H$2:H93,"Yes",$F$2:F93,F93),"")</f>
        <v/>
      </c>
      <c r="J93" s="7" t="str">
        <f t="shared" si="3"/>
        <v/>
      </c>
      <c r="K93" s="4" t="str">
        <f t="shared" si="4"/>
        <v>$0-$50</v>
      </c>
    </row>
    <row r="94" spans="1:11" hidden="1">
      <c r="A94" s="1" t="s">
        <v>370</v>
      </c>
      <c r="B94" s="1" t="s">
        <v>371</v>
      </c>
      <c r="C94" s="4">
        <v>5.3610999999999999E-2</v>
      </c>
      <c r="D94" s="3">
        <v>2.0000000000000001E-4</v>
      </c>
      <c r="E94" s="7">
        <v>15600000</v>
      </c>
      <c r="F94" s="7">
        <v>191600</v>
      </c>
      <c r="G94" s="6" t="s">
        <v>750</v>
      </c>
      <c r="H9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94" s="15">
        <f>IF(H94="Yes",COUNTIFS($H$2:$H$201,"Yes",$F$2:$F$201,"&gt;"&amp;F94)+COUNTIFS($H$2:H94,"Yes",$F$2:F94,F94),"")</f>
        <v>57</v>
      </c>
      <c r="J94" s="7" t="str">
        <f t="shared" si="3"/>
        <v/>
      </c>
      <c r="K94" s="4" t="str">
        <f t="shared" si="4"/>
        <v>$0-$50</v>
      </c>
    </row>
    <row r="95" spans="1:11" hidden="1">
      <c r="A95" s="1" t="s">
        <v>374</v>
      </c>
      <c r="B95" s="1" t="s">
        <v>375</v>
      </c>
      <c r="C95" s="4">
        <v>7.1993000000000001E-2</v>
      </c>
      <c r="D95" s="3">
        <v>2.9999999999999997E-4</v>
      </c>
      <c r="E95" s="7">
        <v>15350000</v>
      </c>
      <c r="F95" s="7">
        <v>326498</v>
      </c>
      <c r="G95" s="6" t="s">
        <v>750</v>
      </c>
      <c r="H9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95" s="15">
        <f>IF(H95="Yes",COUNTIFS($H$2:$H$201,"Yes",$F$2:$F$201,"&gt;"&amp;F95)+COUNTIFS($H$2:H95,"Yes",$F$2:F95,F95),"")</f>
        <v>51</v>
      </c>
      <c r="J95" s="7" t="str">
        <f t="shared" si="3"/>
        <v/>
      </c>
      <c r="K95" s="4" t="str">
        <f t="shared" si="4"/>
        <v>$0-$50</v>
      </c>
    </row>
    <row r="96" spans="1:11" hidden="1">
      <c r="A96" s="1" t="s">
        <v>378</v>
      </c>
      <c r="B96" s="1" t="s">
        <v>379</v>
      </c>
      <c r="C96" s="4">
        <v>6.6669999999999993E-2</v>
      </c>
      <c r="D96" s="3">
        <v>1.1000000000000001E-3</v>
      </c>
      <c r="E96" s="7">
        <v>15360000</v>
      </c>
      <c r="F96" s="7">
        <v>3645223</v>
      </c>
      <c r="G96" s="6">
        <v>230410000</v>
      </c>
      <c r="H9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96" s="15">
        <f>IF(H96="Yes",COUNTIFS($H$2:$H$201,"Yes",$F$2:$F$201,"&gt;"&amp;F96)+COUNTIFS($H$2:H96,"Yes",$F$2:F96,F96),"")</f>
        <v>21</v>
      </c>
      <c r="J96" s="7" t="str">
        <f t="shared" si="3"/>
        <v/>
      </c>
      <c r="K96" s="4" t="str">
        <f t="shared" si="4"/>
        <v>$0-$50</v>
      </c>
    </row>
    <row r="97" spans="1:11" hidden="1">
      <c r="A97" s="1" t="s">
        <v>382</v>
      </c>
      <c r="B97" s="1" t="s">
        <v>383</v>
      </c>
      <c r="C97" s="4">
        <v>1.6</v>
      </c>
      <c r="D97" s="3">
        <v>1.8E-3</v>
      </c>
      <c r="E97" s="7">
        <v>15310000</v>
      </c>
      <c r="F97" s="7">
        <v>3216530</v>
      </c>
      <c r="G97" s="6">
        <v>9550000</v>
      </c>
      <c r="H9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97" s="15" t="str">
        <f>IF(H97="Yes",COUNTIFS($H$2:$H$201,"Yes",$F$2:$F$201,"&gt;"&amp;F97)+COUNTIFS($H$2:H97,"Yes",$F$2:F97,F97),"")</f>
        <v/>
      </c>
      <c r="J97" s="7" t="str">
        <f t="shared" si="3"/>
        <v/>
      </c>
      <c r="K97" s="4" t="str">
        <f t="shared" si="4"/>
        <v>$0-$50</v>
      </c>
    </row>
    <row r="98" spans="1:11" hidden="1">
      <c r="A98" s="1" t="s">
        <v>386</v>
      </c>
      <c r="B98" s="1" t="s">
        <v>387</v>
      </c>
      <c r="C98" s="4">
        <v>108.17</v>
      </c>
      <c r="D98" s="3">
        <v>5.9999999999999995E-4</v>
      </c>
      <c r="E98" s="7">
        <v>15250000</v>
      </c>
      <c r="F98" s="7">
        <v>1639272</v>
      </c>
      <c r="G98" s="6" t="s">
        <v>750</v>
      </c>
      <c r="H9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98" s="15">
        <f>IF(H98="Yes",COUNTIFS($H$2:$H$201,"Yes",$F$2:$F$201,"&gt;"&amp;F98)+COUNTIFS($H$2:H98,"Yes",$F$2:F98,F98),"")</f>
        <v>32</v>
      </c>
      <c r="J98" s="7" t="str">
        <f t="shared" ref="J98:J129" si="5">IF(AND(H98="Yes",F98&lt;&gt;"",ISNUMBER(F98),I98&gt;=1,I98&lt;=10),"Top 10","")</f>
        <v/>
      </c>
      <c r="K98" s="4" t="str">
        <f t="shared" si="4"/>
        <v>Above $50</v>
      </c>
    </row>
    <row r="99" spans="1:11" hidden="1">
      <c r="A99" s="1" t="s">
        <v>390</v>
      </c>
      <c r="B99" s="1" t="s">
        <v>391</v>
      </c>
      <c r="C99" s="4">
        <v>7.5079999999999994E-2</v>
      </c>
      <c r="D99" s="3">
        <v>7.000000000000001E-4</v>
      </c>
      <c r="E99" s="7">
        <v>15250000</v>
      </c>
      <c r="F99" s="7">
        <v>1739142</v>
      </c>
      <c r="G99" s="6">
        <v>203020000</v>
      </c>
      <c r="H9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99" s="15">
        <f>IF(H99="Yes",COUNTIFS($H$2:$H$201,"Yes",$F$2:$F$201,"&gt;"&amp;F99)+COUNTIFS($H$2:H99,"Yes",$F$2:F99,F99),"")</f>
        <v>28</v>
      </c>
      <c r="J99" s="7" t="str">
        <f t="shared" si="5"/>
        <v/>
      </c>
      <c r="K99" s="4" t="str">
        <f t="shared" si="4"/>
        <v>$0-$50</v>
      </c>
    </row>
    <row r="100" spans="1:11" hidden="1">
      <c r="A100" s="1" t="s">
        <v>393</v>
      </c>
      <c r="B100" s="1" t="s">
        <v>394</v>
      </c>
      <c r="C100" s="4">
        <v>2.934E-3</v>
      </c>
      <c r="D100" s="3">
        <v>7.3000000000000001E-3</v>
      </c>
      <c r="E100" s="7">
        <v>15190000</v>
      </c>
      <c r="F100" s="7">
        <v>2771456</v>
      </c>
      <c r="G100" s="6">
        <v>5170000000</v>
      </c>
      <c r="H10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00" s="15">
        <f>IF(H100="Yes",COUNTIFS($H$2:$H$201,"Yes",$F$2:$F$201,"&gt;"&amp;F100)+COUNTIFS($H$2:H100,"Yes",$F$2:F100,F100),"")</f>
        <v>23</v>
      </c>
      <c r="J100" s="7" t="str">
        <f t="shared" si="5"/>
        <v/>
      </c>
      <c r="K100" s="4" t="str">
        <f t="shared" si="4"/>
        <v>$0-$50</v>
      </c>
    </row>
    <row r="101" spans="1:11" hidden="1">
      <c r="A101" s="1" t="s">
        <v>397</v>
      </c>
      <c r="B101" s="1" t="s">
        <v>398</v>
      </c>
      <c r="C101" s="4">
        <v>6.8440000000000001E-2</v>
      </c>
      <c r="D101" s="3">
        <v>2.5099999999999997E-2</v>
      </c>
      <c r="E101" s="7">
        <v>15150000</v>
      </c>
      <c r="F101" s="7">
        <v>128760</v>
      </c>
      <c r="G101" s="6">
        <v>221400000</v>
      </c>
      <c r="H10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01" s="15" t="str">
        <f>IF(H101="Yes",COUNTIFS($H$2:$H$201,"Yes",$F$2:$F$201,"&gt;"&amp;F101)+COUNTIFS($H$2:H101,"Yes",$F$2:F101,F101),"")</f>
        <v/>
      </c>
      <c r="J101" s="7" t="str">
        <f t="shared" si="5"/>
        <v/>
      </c>
      <c r="K101" s="4" t="str">
        <f t="shared" si="4"/>
        <v>$0-$50</v>
      </c>
    </row>
    <row r="102" spans="1:11" hidden="1">
      <c r="A102" s="1" t="s">
        <v>401</v>
      </c>
      <c r="B102" s="1" t="s">
        <v>402</v>
      </c>
      <c r="C102" s="4">
        <v>0.3211</v>
      </c>
      <c r="D102" s="3">
        <v>3.0999999999999999E-3</v>
      </c>
      <c r="E102" s="7">
        <v>11950000</v>
      </c>
      <c r="F102" s="7">
        <v>654812</v>
      </c>
      <c r="G102" s="6">
        <v>37220000</v>
      </c>
      <c r="H10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02" s="15">
        <f>IF(H102="Yes",COUNTIFS($H$2:$H$201,"Yes",$F$2:$F$201,"&gt;"&amp;F102)+COUNTIFS($H$2:H102,"Yes",$F$2:F102,F102),"")</f>
        <v>46</v>
      </c>
      <c r="J102" s="7" t="str">
        <f t="shared" si="5"/>
        <v/>
      </c>
      <c r="K102" s="4" t="str">
        <f t="shared" si="4"/>
        <v>$0-$50</v>
      </c>
    </row>
    <row r="103" spans="1:11" hidden="1">
      <c r="A103" s="1" t="s">
        <v>405</v>
      </c>
      <c r="B103" s="1" t="s">
        <v>406</v>
      </c>
      <c r="C103" s="4">
        <v>0.18229999999999999</v>
      </c>
      <c r="D103" s="3">
        <v>1E-4</v>
      </c>
      <c r="E103" s="7">
        <v>11960000</v>
      </c>
      <c r="F103" s="7">
        <v>3185</v>
      </c>
      <c r="G103" s="6">
        <v>65599999.999999993</v>
      </c>
      <c r="H10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03" s="15">
        <f>IF(H103="Yes",COUNTIFS($H$2:$H$201,"Yes",$F$2:$F$201,"&gt;"&amp;F103)+COUNTIFS($H$2:H103,"Yes",$F$2:F103,F103),"")</f>
        <v>77</v>
      </c>
      <c r="J103" s="7" t="str">
        <f t="shared" si="5"/>
        <v/>
      </c>
      <c r="K103" s="4" t="str">
        <f t="shared" si="4"/>
        <v>$0-$50</v>
      </c>
    </row>
    <row r="104" spans="1:11" hidden="1">
      <c r="A104" s="1" t="s">
        <v>409</v>
      </c>
      <c r="B104" s="1" t="s">
        <v>410</v>
      </c>
      <c r="C104" s="4">
        <v>4.9510000000000005E-4</v>
      </c>
      <c r="D104" s="3">
        <v>4.0500000000000001E-2</v>
      </c>
      <c r="E104" s="7">
        <v>11960000</v>
      </c>
      <c r="F104" s="7">
        <v>4772</v>
      </c>
      <c r="G104" s="6">
        <v>24150000000</v>
      </c>
      <c r="H10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04" s="15" t="str">
        <f>IF(H104="Yes",COUNTIFS($H$2:$H$201,"Yes",$F$2:$F$201,"&gt;"&amp;F104)+COUNTIFS($H$2:H104,"Yes",$F$2:F104,F104),"")</f>
        <v/>
      </c>
      <c r="J104" s="7" t="str">
        <f t="shared" si="5"/>
        <v/>
      </c>
      <c r="K104" s="4" t="str">
        <f t="shared" si="4"/>
        <v>$0-$50</v>
      </c>
    </row>
    <row r="105" spans="1:11" hidden="1">
      <c r="A105" s="1" t="s">
        <v>412</v>
      </c>
      <c r="B105" s="1" t="s">
        <v>413</v>
      </c>
      <c r="C105" s="4">
        <v>7.8300000000000002E-3</v>
      </c>
      <c r="D105" s="3">
        <v>5.1000000000000004E-3</v>
      </c>
      <c r="E105" s="7">
        <v>11950000</v>
      </c>
      <c r="F105" s="7">
        <v>680959</v>
      </c>
      <c r="G105" s="6">
        <v>1520000000</v>
      </c>
      <c r="H10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05" s="15">
        <f>IF(H105="Yes",COUNTIFS($H$2:$H$201,"Yes",$F$2:$F$201,"&gt;"&amp;F105)+COUNTIFS($H$2:H105,"Yes",$F$2:F105,F105),"")</f>
        <v>45</v>
      </c>
      <c r="J105" s="7" t="str">
        <f t="shared" si="5"/>
        <v/>
      </c>
      <c r="K105" s="4" t="str">
        <f t="shared" si="4"/>
        <v>$0-$50</v>
      </c>
    </row>
    <row r="106" spans="1:11" hidden="1">
      <c r="A106" s="1" t="s">
        <v>415</v>
      </c>
      <c r="B106" s="1" t="s">
        <v>416</v>
      </c>
      <c r="C106" s="4">
        <v>5.5989999999999998E-2</v>
      </c>
      <c r="D106" s="3">
        <v>2.9999999999999997E-4</v>
      </c>
      <c r="E106" s="7">
        <v>11950000</v>
      </c>
      <c r="F106" s="7">
        <v>2332177</v>
      </c>
      <c r="G106" s="6">
        <v>213360000</v>
      </c>
      <c r="H10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06" s="15" t="str">
        <f>IF(H106="Yes",COUNTIFS($H$2:$H$201,"Yes",$F$2:$F$201,"&gt;"&amp;F106)+COUNTIFS($H$2:H106,"Yes",$F$2:F106,F106),"")</f>
        <v/>
      </c>
      <c r="J106" s="7" t="str">
        <f t="shared" si="5"/>
        <v/>
      </c>
      <c r="K106" s="4" t="str">
        <f t="shared" si="4"/>
        <v>$0-$50</v>
      </c>
    </row>
    <row r="107" spans="1:11" hidden="1">
      <c r="A107" s="1" t="s">
        <v>418</v>
      </c>
      <c r="B107" s="1" t="s">
        <v>419</v>
      </c>
      <c r="C107" s="4">
        <v>1.193E-2</v>
      </c>
      <c r="D107" s="3">
        <v>5.0000000000000001E-4</v>
      </c>
      <c r="E107" s="7">
        <v>11920000</v>
      </c>
      <c r="F107" s="7">
        <v>2707699</v>
      </c>
      <c r="G107" s="6">
        <v>998980000</v>
      </c>
      <c r="H10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07" s="15" t="str">
        <f>IF(H107="Yes",COUNTIFS($H$2:$H$201,"Yes",$F$2:$F$201,"&gt;"&amp;F107)+COUNTIFS($H$2:H107,"Yes",$F$2:F107,F107),"")</f>
        <v/>
      </c>
      <c r="J107" s="7" t="str">
        <f t="shared" si="5"/>
        <v/>
      </c>
      <c r="K107" s="4" t="str">
        <f t="shared" si="4"/>
        <v>$0-$50</v>
      </c>
    </row>
    <row r="108" spans="1:11" hidden="1">
      <c r="A108" s="1" t="s">
        <v>422</v>
      </c>
      <c r="B108" s="1" t="s">
        <v>423</v>
      </c>
      <c r="C108" s="4">
        <v>0.42120000000000002</v>
      </c>
      <c r="D108" s="3">
        <v>2.2000000000000001E-3</v>
      </c>
      <c r="E108" s="7">
        <v>11850000</v>
      </c>
      <c r="F108" s="7">
        <v>708276</v>
      </c>
      <c r="G108" s="6">
        <v>28130000</v>
      </c>
      <c r="H10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08" s="15" t="str">
        <f>IF(H108="Yes",COUNTIFS($H$2:$H$201,"Yes",$F$2:$F$201,"&gt;"&amp;F108)+COUNTIFS($H$2:H108,"Yes",$F$2:F108,F108),"")</f>
        <v/>
      </c>
      <c r="J108" s="7" t="str">
        <f t="shared" si="5"/>
        <v/>
      </c>
      <c r="K108" s="4" t="str">
        <f t="shared" si="4"/>
        <v>$0-$50</v>
      </c>
    </row>
    <row r="109" spans="1:11" hidden="1">
      <c r="A109" s="1" t="s">
        <v>426</v>
      </c>
      <c r="B109" s="1" t="s">
        <v>427</v>
      </c>
      <c r="C109" s="4">
        <v>2.198E-2</v>
      </c>
      <c r="D109" s="3">
        <v>1.41E-2</v>
      </c>
      <c r="E109" s="7">
        <v>11810000</v>
      </c>
      <c r="F109" s="7">
        <v>1407422</v>
      </c>
      <c r="G109" s="6">
        <v>537270000</v>
      </c>
      <c r="H10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09" s="15">
        <f>IF(H109="Yes",COUNTIFS($H$2:$H$201,"Yes",$F$2:$F$201,"&gt;"&amp;F109)+COUNTIFS($H$2:H109,"Yes",$F$2:F109,F109),"")</f>
        <v>34</v>
      </c>
      <c r="J109" s="7" t="str">
        <f t="shared" si="5"/>
        <v/>
      </c>
      <c r="K109" s="4" t="str">
        <f t="shared" si="4"/>
        <v>$0-$50</v>
      </c>
    </row>
    <row r="110" spans="1:11" hidden="1">
      <c r="A110" s="1" t="s">
        <v>430</v>
      </c>
      <c r="B110" s="1" t="s">
        <v>431</v>
      </c>
      <c r="C110" s="4">
        <v>1.163E-2</v>
      </c>
      <c r="D110" s="3">
        <v>4.1999999999999997E-3</v>
      </c>
      <c r="E110" s="7">
        <v>11610000</v>
      </c>
      <c r="F110" s="7">
        <v>1737116</v>
      </c>
      <c r="G110" s="6">
        <v>997960000</v>
      </c>
      <c r="H11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10" s="15">
        <f>IF(H110="Yes",COUNTIFS($H$2:$H$201,"Yes",$F$2:$F$201,"&gt;"&amp;F110)+COUNTIFS($H$2:H110,"Yes",$F$2:F110,F110),"")</f>
        <v>29</v>
      </c>
      <c r="J110" s="7" t="str">
        <f t="shared" si="5"/>
        <v/>
      </c>
      <c r="K110" s="4" t="str">
        <f t="shared" si="4"/>
        <v>$0-$50</v>
      </c>
    </row>
    <row r="111" spans="1:11" hidden="1">
      <c r="A111" s="1" t="s">
        <v>434</v>
      </c>
      <c r="B111" s="1" t="s">
        <v>435</v>
      </c>
      <c r="C111" s="4">
        <v>146.91999999999999</v>
      </c>
      <c r="D111" s="3">
        <v>1.6000000000000001E-3</v>
      </c>
      <c r="E111" s="7">
        <v>11750000</v>
      </c>
      <c r="F111" s="7">
        <v>525209</v>
      </c>
      <c r="G111" s="6" t="s">
        <v>750</v>
      </c>
      <c r="H11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11" s="15">
        <f>IF(H111="Yes",COUNTIFS($H$2:$H$201,"Yes",$F$2:$F$201,"&gt;"&amp;F111)+COUNTIFS($H$2:H111,"Yes",$F$2:F111,F111),"")</f>
        <v>47</v>
      </c>
      <c r="J111" s="7" t="str">
        <f t="shared" si="5"/>
        <v/>
      </c>
      <c r="K111" s="4" t="str">
        <f t="shared" si="4"/>
        <v>Above $50</v>
      </c>
    </row>
    <row r="112" spans="1:11" hidden="1">
      <c r="A112" s="1" t="s">
        <v>438</v>
      </c>
      <c r="B112" s="1" t="s">
        <v>439</v>
      </c>
      <c r="C112" s="4">
        <v>1.392E-4</v>
      </c>
      <c r="D112" s="3">
        <v>2.5000000000000001E-3</v>
      </c>
      <c r="E112" s="7">
        <v>9280000</v>
      </c>
      <c r="F112" s="7">
        <v>202163</v>
      </c>
      <c r="G112" s="6">
        <v>66640000000</v>
      </c>
      <c r="H11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12" s="15" t="str">
        <f>IF(H112="Yes",COUNTIFS($H$2:$H$201,"Yes",$F$2:$F$201,"&gt;"&amp;F112)+COUNTIFS($H$2:H112,"Yes",$F$2:F112,F112),"")</f>
        <v/>
      </c>
      <c r="J112" s="7" t="str">
        <f t="shared" si="5"/>
        <v/>
      </c>
      <c r="K112" s="4" t="str">
        <f t="shared" si="4"/>
        <v>$0-$50</v>
      </c>
    </row>
    <row r="113" spans="1:11" hidden="1">
      <c r="A113" s="1" t="s">
        <v>442</v>
      </c>
      <c r="B113" s="1" t="s">
        <v>443</v>
      </c>
      <c r="C113" s="4">
        <v>0.1065</v>
      </c>
      <c r="D113" s="3">
        <v>0</v>
      </c>
      <c r="E113" s="7">
        <v>9260000</v>
      </c>
      <c r="F113" s="7" t="s">
        <v>750</v>
      </c>
      <c r="G113" s="6">
        <v>86910000</v>
      </c>
      <c r="H11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13" s="15">
        <f>IF(H113="Yes",COUNTIFS($H$2:$H$201,"Yes",$F$2:$F$201,"&gt;"&amp;F113)+COUNTIFS($H$2:H113,"Yes",$F$2:F113,F113),"")</f>
        <v>1</v>
      </c>
      <c r="J113" s="7" t="str">
        <f t="shared" si="5"/>
        <v/>
      </c>
      <c r="K113" s="4" t="str">
        <f t="shared" si="4"/>
        <v>$0-$50</v>
      </c>
    </row>
    <row r="114" spans="1:11" hidden="1">
      <c r="A114" s="1" t="s">
        <v>447</v>
      </c>
      <c r="B114" s="1" t="s">
        <v>448</v>
      </c>
      <c r="C114" s="4">
        <v>1.8810000000000001E-3</v>
      </c>
      <c r="D114" s="3">
        <v>1.1999999999999999E-3</v>
      </c>
      <c r="E114" s="7">
        <v>9170000</v>
      </c>
      <c r="F114" s="7">
        <v>7687892</v>
      </c>
      <c r="G114" s="6">
        <v>4870000000</v>
      </c>
      <c r="H11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14" s="15" t="str">
        <f>IF(H114="Yes",COUNTIFS($H$2:$H$201,"Yes",$F$2:$F$201,"&gt;"&amp;F114)+COUNTIFS($H$2:H114,"Yes",$F$2:F114,F114),"")</f>
        <v/>
      </c>
      <c r="J114" s="7" t="str">
        <f t="shared" si="5"/>
        <v/>
      </c>
      <c r="K114" s="4" t="str">
        <f t="shared" si="4"/>
        <v>$0-$50</v>
      </c>
    </row>
    <row r="115" spans="1:11" hidden="1">
      <c r="A115" s="1" t="s">
        <v>451</v>
      </c>
      <c r="B115" s="1" t="s">
        <v>452</v>
      </c>
      <c r="C115" s="4">
        <v>9.0589999999999993E-3</v>
      </c>
      <c r="D115" s="3">
        <v>8.8000000000000005E-3</v>
      </c>
      <c r="E115" s="7">
        <v>9260000</v>
      </c>
      <c r="F115" s="7">
        <v>75137</v>
      </c>
      <c r="G115" s="6">
        <v>1020000000</v>
      </c>
      <c r="H11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15" s="15" t="str">
        <f>IF(H115="Yes",COUNTIFS($H$2:$H$201,"Yes",$F$2:$F$201,"&gt;"&amp;F115)+COUNTIFS($H$2:H115,"Yes",$F$2:F115,F115),"")</f>
        <v/>
      </c>
      <c r="J115" s="7" t="str">
        <f t="shared" si="5"/>
        <v/>
      </c>
      <c r="K115" s="4" t="str">
        <f t="shared" si="4"/>
        <v>$0-$50</v>
      </c>
    </row>
    <row r="116" spans="1:11" hidden="1">
      <c r="A116" s="1" t="s">
        <v>454</v>
      </c>
      <c r="B116" s="1" t="s">
        <v>37</v>
      </c>
      <c r="C116" s="4">
        <v>9.443E-3</v>
      </c>
      <c r="D116" s="3">
        <v>1.3899999999999999E-2</v>
      </c>
      <c r="E116" s="7">
        <v>9250000</v>
      </c>
      <c r="F116" s="7">
        <v>1315522</v>
      </c>
      <c r="G116" s="6">
        <v>979120000</v>
      </c>
      <c r="H11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16" s="15">
        <f>IF(H116="Yes",COUNTIFS($H$2:$H$201,"Yes",$F$2:$F$201,"&gt;"&amp;F116)+COUNTIFS($H$2:H116,"Yes",$F$2:F116,F116),"")</f>
        <v>37</v>
      </c>
      <c r="J116" s="7" t="str">
        <f t="shared" si="5"/>
        <v/>
      </c>
      <c r="K116" s="4" t="str">
        <f t="shared" si="4"/>
        <v>$0-$50</v>
      </c>
    </row>
    <row r="117" spans="1:11" hidden="1">
      <c r="A117" s="1" t="s">
        <v>457</v>
      </c>
      <c r="B117" s="1" t="s">
        <v>458</v>
      </c>
      <c r="C117" s="4">
        <v>9.0810000000000005E-3</v>
      </c>
      <c r="D117" s="3">
        <v>1.26E-2</v>
      </c>
      <c r="E117" s="7">
        <v>9080000</v>
      </c>
      <c r="F117" s="7">
        <v>8504736</v>
      </c>
      <c r="G117" s="6">
        <v>999930000</v>
      </c>
      <c r="H11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17" s="15" t="str">
        <f>IF(H117="Yes",COUNTIFS($H$2:$H$201,"Yes",$F$2:$F$201,"&gt;"&amp;F117)+COUNTIFS($H$2:H117,"Yes",$F$2:F117,F117),"")</f>
        <v/>
      </c>
      <c r="J117" s="7" t="str">
        <f t="shared" si="5"/>
        <v/>
      </c>
      <c r="K117" s="4" t="str">
        <f t="shared" si="4"/>
        <v>$0-$50</v>
      </c>
    </row>
    <row r="118" spans="1:11" hidden="1">
      <c r="A118" s="1" t="s">
        <v>461</v>
      </c>
      <c r="B118" s="1" t="s">
        <v>462</v>
      </c>
      <c r="C118" s="4">
        <v>9.4009999999999996E-3</v>
      </c>
      <c r="D118" s="3">
        <v>1.8000000000000002E-2</v>
      </c>
      <c r="E118" s="7">
        <v>9120000</v>
      </c>
      <c r="F118" s="7">
        <v>232710</v>
      </c>
      <c r="G118" s="6">
        <v>970000000</v>
      </c>
      <c r="H11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18" s="15">
        <f>IF(H118="Yes",COUNTIFS($H$2:$H$201,"Yes",$F$2:$F$201,"&gt;"&amp;F118)+COUNTIFS($H$2:H118,"Yes",$F$2:F118,F118),"")</f>
        <v>55</v>
      </c>
      <c r="J118" s="7" t="str">
        <f t="shared" si="5"/>
        <v/>
      </c>
      <c r="K118" s="4" t="str">
        <f t="shared" si="4"/>
        <v>$0-$50</v>
      </c>
    </row>
    <row r="119" spans="1:11" hidden="1">
      <c r="A119" s="1" t="s">
        <v>465</v>
      </c>
      <c r="B119" s="1" t="s">
        <v>466</v>
      </c>
      <c r="C119" s="4">
        <v>1.413E-2</v>
      </c>
      <c r="D119" s="3">
        <v>4.5000000000000005E-3</v>
      </c>
      <c r="E119" s="7">
        <v>9080000</v>
      </c>
      <c r="F119" s="7">
        <v>351905</v>
      </c>
      <c r="G119" s="6">
        <v>642490000</v>
      </c>
      <c r="H11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19" s="15">
        <f>IF(H119="Yes",COUNTIFS($H$2:$H$201,"Yes",$F$2:$F$201,"&gt;"&amp;F119)+COUNTIFS($H$2:H119,"Yes",$F$2:F119,F119),"")</f>
        <v>50</v>
      </c>
      <c r="J119" s="7" t="str">
        <f t="shared" si="5"/>
        <v/>
      </c>
      <c r="K119" s="4" t="str">
        <f t="shared" si="4"/>
        <v>$0-$50</v>
      </c>
    </row>
    <row r="120" spans="1:11" hidden="1">
      <c r="A120" s="1" t="s">
        <v>468</v>
      </c>
      <c r="B120" s="1" t="s">
        <v>469</v>
      </c>
      <c r="C120" s="4">
        <v>1.661E-2</v>
      </c>
      <c r="D120" s="3">
        <v>2.18E-2</v>
      </c>
      <c r="E120" s="7">
        <v>9070000</v>
      </c>
      <c r="F120" s="7">
        <v>1959456</v>
      </c>
      <c r="G120" s="6">
        <v>545960000</v>
      </c>
      <c r="H12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0" s="15" t="str">
        <f>IF(H120="Yes",COUNTIFS($H$2:$H$201,"Yes",$F$2:$F$201,"&gt;"&amp;F120)+COUNTIFS($H$2:H120,"Yes",$F$2:F120,F120),"")</f>
        <v/>
      </c>
      <c r="J120" s="7" t="str">
        <f t="shared" si="5"/>
        <v/>
      </c>
      <c r="K120" s="4" t="str">
        <f t="shared" si="4"/>
        <v>$0-$50</v>
      </c>
    </row>
    <row r="121" spans="1:11" hidden="1">
      <c r="A121" s="1" t="s">
        <v>472</v>
      </c>
      <c r="B121" s="1" t="s">
        <v>473</v>
      </c>
      <c r="C121" s="4">
        <v>9.2256000000000005E-2</v>
      </c>
      <c r="D121" s="3">
        <v>1.4199999999999999E-2</v>
      </c>
      <c r="E121" s="7">
        <v>9070000</v>
      </c>
      <c r="F121" s="7">
        <v>196385</v>
      </c>
      <c r="G121" s="6" t="s">
        <v>750</v>
      </c>
      <c r="H12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1" s="15" t="str">
        <f>IF(H121="Yes",COUNTIFS($H$2:$H$201,"Yes",$F$2:$F$201,"&gt;"&amp;F121)+COUNTIFS($H$2:H121,"Yes",$F$2:F121,F121),"")</f>
        <v/>
      </c>
      <c r="J121" s="7" t="str">
        <f t="shared" si="5"/>
        <v/>
      </c>
      <c r="K121" s="4" t="str">
        <f t="shared" si="4"/>
        <v>$0-$50</v>
      </c>
    </row>
    <row r="122" spans="1:11" hidden="1">
      <c r="A122" s="1" t="s">
        <v>475</v>
      </c>
      <c r="B122" s="1" t="s">
        <v>476</v>
      </c>
      <c r="C122" s="4">
        <v>1.69</v>
      </c>
      <c r="D122" s="3">
        <v>4.5000000000000005E-3</v>
      </c>
      <c r="E122" s="7">
        <v>7040000</v>
      </c>
      <c r="F122" s="7" t="s">
        <v>750</v>
      </c>
      <c r="G122" s="6">
        <v>4139999.9999999995</v>
      </c>
      <c r="H12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2" s="15" t="str">
        <f>IF(H122="Yes",COUNTIFS($H$2:$H$201,"Yes",$F$2:$F$201,"&gt;"&amp;F122)+COUNTIFS($H$2:H122,"Yes",$F$2:F122,F122),"")</f>
        <v/>
      </c>
      <c r="J122" s="7" t="str">
        <f t="shared" si="5"/>
        <v/>
      </c>
      <c r="K122" s="4" t="str">
        <f t="shared" si="4"/>
        <v>$0-$50</v>
      </c>
    </row>
    <row r="123" spans="1:11" hidden="1">
      <c r="A123" s="1" t="s">
        <v>479</v>
      </c>
      <c r="B123" s="1" t="s">
        <v>479</v>
      </c>
      <c r="C123" s="4">
        <v>3.4939999999999999E-2</v>
      </c>
      <c r="D123" s="3">
        <v>1.09E-2</v>
      </c>
      <c r="E123" s="7">
        <v>7040000</v>
      </c>
      <c r="F123" s="7">
        <v>3410421</v>
      </c>
      <c r="G123" s="6">
        <v>201310000</v>
      </c>
      <c r="H12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3" s="15" t="str">
        <f>IF(H123="Yes",COUNTIFS($H$2:$H$201,"Yes",$F$2:$F$201,"&gt;"&amp;F123)+COUNTIFS($H$2:H123,"Yes",$F$2:F123,F123),"")</f>
        <v/>
      </c>
      <c r="J123" s="7" t="str">
        <f t="shared" si="5"/>
        <v/>
      </c>
      <c r="K123" s="4" t="str">
        <f t="shared" si="4"/>
        <v>$0-$50</v>
      </c>
    </row>
    <row r="124" spans="1:11" hidden="1">
      <c r="A124" s="1" t="s">
        <v>481</v>
      </c>
      <c r="B124" s="1" t="s">
        <v>482</v>
      </c>
      <c r="C124" s="4">
        <v>4.7939999999999997E-3</v>
      </c>
      <c r="D124" s="3">
        <v>2.5000000000000001E-3</v>
      </c>
      <c r="E124" s="7">
        <v>7030000</v>
      </c>
      <c r="F124" s="7">
        <v>191443</v>
      </c>
      <c r="G124" s="6">
        <v>1460000000</v>
      </c>
      <c r="H12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24" s="15">
        <f>IF(H124="Yes",COUNTIFS($H$2:$H$201,"Yes",$F$2:$F$201,"&gt;"&amp;F124)+COUNTIFS($H$2:H124,"Yes",$F$2:F124,F124),"")</f>
        <v>58</v>
      </c>
      <c r="J124" s="7" t="str">
        <f t="shared" si="5"/>
        <v/>
      </c>
      <c r="K124" s="4" t="str">
        <f t="shared" si="4"/>
        <v>$0-$50</v>
      </c>
    </row>
    <row r="125" spans="1:11" hidden="1">
      <c r="A125" s="1" t="s">
        <v>485</v>
      </c>
      <c r="B125" s="1" t="s">
        <v>486</v>
      </c>
      <c r="C125" s="4">
        <v>1.839E-2</v>
      </c>
      <c r="D125" s="3">
        <v>5.3E-3</v>
      </c>
      <c r="E125" s="7">
        <v>7020000</v>
      </c>
      <c r="F125" s="7">
        <v>166190</v>
      </c>
      <c r="G125" s="6">
        <v>381850000</v>
      </c>
      <c r="H12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5" s="15" t="str">
        <f>IF(H125="Yes",COUNTIFS($H$2:$H$201,"Yes",$F$2:$F$201,"&gt;"&amp;F125)+COUNTIFS($H$2:H125,"Yes",$F$2:F125,F125),"")</f>
        <v/>
      </c>
      <c r="J125" s="7" t="str">
        <f t="shared" si="5"/>
        <v/>
      </c>
      <c r="K125" s="4" t="str">
        <f t="shared" si="4"/>
        <v>$0-$50</v>
      </c>
    </row>
    <row r="126" spans="1:11" hidden="1">
      <c r="A126" s="1" t="s">
        <v>489</v>
      </c>
      <c r="B126" s="1" t="s">
        <v>490</v>
      </c>
      <c r="C126" s="4">
        <v>3.6720000000000003E-2</v>
      </c>
      <c r="D126" s="3">
        <v>4.0000000000000001E-3</v>
      </c>
      <c r="E126" s="7">
        <v>7030000</v>
      </c>
      <c r="F126" s="7">
        <v>43739</v>
      </c>
      <c r="G126" s="6">
        <v>191310000</v>
      </c>
      <c r="H12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26" s="15">
        <f>IF(H126="Yes",COUNTIFS($H$2:$H$201,"Yes",$F$2:$F$201,"&gt;"&amp;F126)+COUNTIFS($H$2:H126,"Yes",$F$2:F126,F126),"")</f>
        <v>71</v>
      </c>
      <c r="J126" s="7" t="str">
        <f t="shared" si="5"/>
        <v/>
      </c>
      <c r="K126" s="4" t="str">
        <f t="shared" si="4"/>
        <v>$0-$50</v>
      </c>
    </row>
    <row r="127" spans="1:11" hidden="1">
      <c r="A127" s="1" t="s">
        <v>492</v>
      </c>
      <c r="B127" s="1" t="s">
        <v>493</v>
      </c>
      <c r="C127" s="4">
        <v>7.7879999999999998E-3</v>
      </c>
      <c r="D127" s="3">
        <v>1.4199999999999999E-2</v>
      </c>
      <c r="E127" s="7">
        <v>7030000</v>
      </c>
      <c r="F127" s="7">
        <v>2191863</v>
      </c>
      <c r="G127" s="6">
        <v>902460000</v>
      </c>
      <c r="H12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7" s="15" t="str">
        <f>IF(H127="Yes",COUNTIFS($H$2:$H$201,"Yes",$F$2:$F$201,"&gt;"&amp;F127)+COUNTIFS($H$2:H127,"Yes",$F$2:F127,F127),"")</f>
        <v/>
      </c>
      <c r="J127" s="7" t="str">
        <f t="shared" si="5"/>
        <v/>
      </c>
      <c r="K127" s="4" t="str">
        <f t="shared" si="4"/>
        <v>$0-$50</v>
      </c>
    </row>
    <row r="128" spans="1:11" hidden="1">
      <c r="A128" s="1" t="s">
        <v>495</v>
      </c>
      <c r="B128" s="1" t="s">
        <v>496</v>
      </c>
      <c r="C128" s="4">
        <v>1.508E-2</v>
      </c>
      <c r="D128" s="3">
        <v>6.9999999999999993E-3</v>
      </c>
      <c r="E128" s="7">
        <v>6990000</v>
      </c>
      <c r="F128" s="7">
        <v>495661</v>
      </c>
      <c r="G128" s="6">
        <v>463580000</v>
      </c>
      <c r="H12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8" s="15" t="str">
        <f>IF(H128="Yes",COUNTIFS($H$2:$H$201,"Yes",$F$2:$F$201,"&gt;"&amp;F128)+COUNTIFS($H$2:H128,"Yes",$F$2:F128,F128),"")</f>
        <v/>
      </c>
      <c r="J128" s="7" t="str">
        <f t="shared" si="5"/>
        <v/>
      </c>
      <c r="K128" s="4" t="str">
        <f t="shared" si="4"/>
        <v>$0-$50</v>
      </c>
    </row>
    <row r="129" spans="1:11" hidden="1">
      <c r="A129" s="1" t="s">
        <v>499</v>
      </c>
      <c r="B129" s="1" t="s">
        <v>500</v>
      </c>
      <c r="C129" s="4">
        <v>2.5340000000000001E-2</v>
      </c>
      <c r="D129" s="3">
        <v>0</v>
      </c>
      <c r="E129" s="7">
        <v>6960000</v>
      </c>
      <c r="F129" s="7" t="s">
        <v>750</v>
      </c>
      <c r="G129" s="6">
        <v>274530000</v>
      </c>
      <c r="H12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29" s="15" t="str">
        <f>IF(H129="Yes",COUNTIFS($H$2:$H$201,"Yes",$F$2:$F$201,"&gt;"&amp;F129)+COUNTIFS($H$2:H129,"Yes",$F$2:F129,F129),"")</f>
        <v/>
      </c>
      <c r="J129" s="7" t="str">
        <f t="shared" si="5"/>
        <v/>
      </c>
      <c r="K129" s="4" t="str">
        <f t="shared" si="4"/>
        <v>$0-$50</v>
      </c>
    </row>
    <row r="130" spans="1:11" hidden="1">
      <c r="A130" s="1" t="s">
        <v>503</v>
      </c>
      <c r="B130" s="1" t="s">
        <v>504</v>
      </c>
      <c r="C130" s="4">
        <v>0.33090000000000003</v>
      </c>
      <c r="D130" s="3">
        <v>1.5E-3</v>
      </c>
      <c r="E130" s="7">
        <v>6950000</v>
      </c>
      <c r="F130" s="7">
        <v>721629</v>
      </c>
      <c r="G130" s="6">
        <v>21000000</v>
      </c>
      <c r="H13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30" s="15" t="str">
        <f>IF(H130="Yes",COUNTIFS($H$2:$H$201,"Yes",$F$2:$F$201,"&gt;"&amp;F130)+COUNTIFS($H$2:H130,"Yes",$F$2:F130,F130),"")</f>
        <v/>
      </c>
      <c r="J130" s="7" t="str">
        <f t="shared" ref="J130:J161" si="6">IF(AND(H130="Yes",F130&lt;&gt;"",ISNUMBER(F130),I130&gt;=1,I130&lt;=10),"Top 10","")</f>
        <v/>
      </c>
      <c r="K130" s="4" t="str">
        <f t="shared" si="4"/>
        <v>$0-$50</v>
      </c>
    </row>
    <row r="131" spans="1:11" hidden="1">
      <c r="A131" s="1" t="s">
        <v>507</v>
      </c>
      <c r="B131" s="1" t="s">
        <v>508</v>
      </c>
      <c r="C131" s="4">
        <v>3.9579999999999997E-2</v>
      </c>
      <c r="D131" s="3">
        <v>1.9699999999999999E-2</v>
      </c>
      <c r="E131" s="7">
        <v>6910000</v>
      </c>
      <c r="F131" s="7">
        <v>2431321</v>
      </c>
      <c r="G131" s="6">
        <v>174470000</v>
      </c>
      <c r="H13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31" s="15">
        <f>IF(H131="Yes",COUNTIFS($H$2:$H$201,"Yes",$F$2:$F$201,"&gt;"&amp;F131)+COUNTIFS($H$2:H131,"Yes",$F$2:F131,F131),"")</f>
        <v>25</v>
      </c>
      <c r="J131" s="7" t="str">
        <f t="shared" si="6"/>
        <v/>
      </c>
      <c r="K131" s="4" t="str">
        <f t="shared" ref="K131:K190" si="7">IF(C131&lt;=50,"$0-$50","Above $50")</f>
        <v>$0-$50</v>
      </c>
    </row>
    <row r="132" spans="1:11" hidden="1">
      <c r="A132" s="1" t="s">
        <v>511</v>
      </c>
      <c r="B132" s="1" t="s">
        <v>512</v>
      </c>
      <c r="C132" s="4">
        <v>5.5209999999999999E-3</v>
      </c>
      <c r="D132" s="3">
        <v>1.26E-2</v>
      </c>
      <c r="E132" s="7">
        <v>5250000</v>
      </c>
      <c r="F132" s="7">
        <v>973654</v>
      </c>
      <c r="G132" s="6">
        <v>950000000</v>
      </c>
      <c r="H13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32" s="15" t="str">
        <f>IF(H132="Yes",COUNTIFS($H$2:$H$201,"Yes",$F$2:$F$201,"&gt;"&amp;F132)+COUNTIFS($H$2:H132,"Yes",$F$2:F132,F132),"")</f>
        <v/>
      </c>
      <c r="J132" s="7" t="str">
        <f t="shared" si="6"/>
        <v/>
      </c>
      <c r="K132" s="4" t="str">
        <f t="shared" si="7"/>
        <v>$0-$50</v>
      </c>
    </row>
    <row r="133" spans="1:11" hidden="1">
      <c r="A133" s="1" t="s">
        <v>515</v>
      </c>
      <c r="B133" s="1" t="s">
        <v>516</v>
      </c>
      <c r="C133" s="4">
        <v>9.0029999999999999E-2</v>
      </c>
      <c r="D133" s="3">
        <v>2.2000000000000001E-3</v>
      </c>
      <c r="E133" s="7">
        <v>5240000</v>
      </c>
      <c r="F133" s="7">
        <v>955799</v>
      </c>
      <c r="G133" s="6">
        <v>58230000</v>
      </c>
      <c r="H13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33" s="15">
        <f>IF(H133="Yes",COUNTIFS($H$2:$H$201,"Yes",$F$2:$F$201,"&gt;"&amp;F133)+COUNTIFS($H$2:H133,"Yes",$F$2:F133,F133),"")</f>
        <v>40</v>
      </c>
      <c r="J133" s="7" t="str">
        <f t="shared" si="6"/>
        <v/>
      </c>
      <c r="K133" s="4" t="str">
        <f t="shared" si="7"/>
        <v>$0-$50</v>
      </c>
    </row>
    <row r="134" spans="1:11" hidden="1">
      <c r="A134" s="1" t="s">
        <v>519</v>
      </c>
      <c r="B134" s="1" t="s">
        <v>520</v>
      </c>
      <c r="C134" s="4">
        <v>5.4479999999999997E-3</v>
      </c>
      <c r="D134" s="3">
        <v>0</v>
      </c>
      <c r="E134" s="7">
        <v>5180000</v>
      </c>
      <c r="F134" s="7">
        <v>1056108</v>
      </c>
      <c r="G134" s="6">
        <v>950270000</v>
      </c>
      <c r="H13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34" s="15" t="str">
        <f>IF(H134="Yes",COUNTIFS($H$2:$H$201,"Yes",$F$2:$F$201,"&gt;"&amp;F134)+COUNTIFS($H$2:H134,"Yes",$F$2:F134,F134),"")</f>
        <v/>
      </c>
      <c r="J134" s="7" t="str">
        <f t="shared" si="6"/>
        <v/>
      </c>
      <c r="K134" s="4" t="str">
        <f t="shared" si="7"/>
        <v>$0-$50</v>
      </c>
    </row>
    <row r="135" spans="1:11" hidden="1">
      <c r="A135" s="1" t="s">
        <v>523</v>
      </c>
      <c r="B135" s="1" t="s">
        <v>524</v>
      </c>
      <c r="C135" s="4">
        <v>2.954E-2</v>
      </c>
      <c r="D135" s="3">
        <v>2.2000000000000001E-3</v>
      </c>
      <c r="E135" s="7">
        <v>5170000</v>
      </c>
      <c r="F135" s="7">
        <v>153889</v>
      </c>
      <c r="G135" s="6">
        <v>174840000</v>
      </c>
      <c r="H13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35" s="15">
        <f>IF(H135="Yes",COUNTIFS($H$2:$H$201,"Yes",$F$2:$F$201,"&gt;"&amp;F135)+COUNTIFS($H$2:H135,"Yes",$F$2:F135,F135),"")</f>
        <v>62</v>
      </c>
      <c r="J135" s="7" t="str">
        <f t="shared" si="6"/>
        <v/>
      </c>
      <c r="K135" s="4" t="str">
        <f t="shared" si="7"/>
        <v>$0-$50</v>
      </c>
    </row>
    <row r="136" spans="1:11" hidden="1">
      <c r="A136" s="1" t="s">
        <v>527</v>
      </c>
      <c r="B136" s="1" t="s">
        <v>528</v>
      </c>
      <c r="C136" s="4">
        <v>2.2859999999999998E-3</v>
      </c>
      <c r="D136" s="3">
        <v>3.4999999999999996E-3</v>
      </c>
      <c r="E136" s="7">
        <v>5160000</v>
      </c>
      <c r="F136" s="7">
        <v>130770</v>
      </c>
      <c r="G136" s="6">
        <v>2250000000</v>
      </c>
      <c r="H13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36" s="15">
        <f>IF(H136="Yes",COUNTIFS($H$2:$H$201,"Yes",$F$2:$F$201,"&gt;"&amp;F136)+COUNTIFS($H$2:H136,"Yes",$F$2:F136,F136),"")</f>
        <v>63</v>
      </c>
      <c r="J136" s="7" t="str">
        <f t="shared" si="6"/>
        <v/>
      </c>
      <c r="K136" s="4" t="str">
        <f t="shared" si="7"/>
        <v>$0-$50</v>
      </c>
    </row>
    <row r="137" spans="1:11" hidden="1">
      <c r="A137" s="1" t="s">
        <v>531</v>
      </c>
      <c r="B137" s="1" t="s">
        <v>532</v>
      </c>
      <c r="C137" s="4">
        <v>1.011E-3</v>
      </c>
      <c r="D137" s="3">
        <v>2E-3</v>
      </c>
      <c r="E137" s="7">
        <v>5150000</v>
      </c>
      <c r="F137" s="7">
        <v>432080</v>
      </c>
      <c r="G137" s="6">
        <v>5090000000</v>
      </c>
      <c r="H13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37" s="15" t="str">
        <f>IF(H137="Yes",COUNTIFS($H$2:$H$201,"Yes",$F$2:$F$201,"&gt;"&amp;F137)+COUNTIFS($H$2:H137,"Yes",$F$2:F137,F137),"")</f>
        <v/>
      </c>
      <c r="J137" s="7" t="str">
        <f t="shared" si="6"/>
        <v/>
      </c>
      <c r="K137" s="4" t="str">
        <f t="shared" si="7"/>
        <v>$0-$50</v>
      </c>
    </row>
    <row r="138" spans="1:11" hidden="1">
      <c r="A138" s="1" t="s">
        <v>535</v>
      </c>
      <c r="B138" s="1" t="s">
        <v>536</v>
      </c>
      <c r="C138" s="4">
        <v>0.53059999999999996</v>
      </c>
      <c r="D138" s="3">
        <v>5.9999999999999995E-4</v>
      </c>
      <c r="E138" s="7">
        <v>5150000</v>
      </c>
      <c r="F138" s="7">
        <v>697351</v>
      </c>
      <c r="G138" s="6">
        <v>9700000</v>
      </c>
      <c r="H13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38" s="15">
        <f>IF(H138="Yes",COUNTIFS($H$2:$H$201,"Yes",$F$2:$F$201,"&gt;"&amp;F138)+COUNTIFS($H$2:H138,"Yes",$F$2:F138,F138),"")</f>
        <v>44</v>
      </c>
      <c r="J138" s="7" t="str">
        <f t="shared" si="6"/>
        <v/>
      </c>
      <c r="K138" s="4" t="str">
        <f t="shared" si="7"/>
        <v>$0-$50</v>
      </c>
    </row>
    <row r="139" spans="1:11" hidden="1">
      <c r="A139" s="1" t="s">
        <v>538</v>
      </c>
      <c r="B139" s="1" t="s">
        <v>539</v>
      </c>
      <c r="C139" s="4">
        <v>5.1869999999999998E-3</v>
      </c>
      <c r="D139" s="3">
        <v>3.7000000000000002E-3</v>
      </c>
      <c r="E139" s="7">
        <v>5140000</v>
      </c>
      <c r="F139" s="7">
        <v>17403</v>
      </c>
      <c r="G139" s="6">
        <v>991830000</v>
      </c>
      <c r="H13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39" s="15">
        <f>IF(H139="Yes",COUNTIFS($H$2:$H$201,"Yes",$F$2:$F$201,"&gt;"&amp;F139)+COUNTIFS($H$2:H139,"Yes",$F$2:F139,F139),"")</f>
        <v>74</v>
      </c>
      <c r="J139" s="7" t="str">
        <f t="shared" si="6"/>
        <v/>
      </c>
      <c r="K139" s="4" t="str">
        <f t="shared" si="7"/>
        <v>$0-$50</v>
      </c>
    </row>
    <row r="140" spans="1:11" hidden="1">
      <c r="A140" s="1" t="s">
        <v>542</v>
      </c>
      <c r="B140" s="1" t="s">
        <v>543</v>
      </c>
      <c r="C140" s="4">
        <v>1.885E-3</v>
      </c>
      <c r="D140" s="3">
        <v>1E-4</v>
      </c>
      <c r="E140" s="7">
        <v>5140000</v>
      </c>
      <c r="F140" s="7">
        <v>392111</v>
      </c>
      <c r="G140" s="6">
        <v>2720000000</v>
      </c>
      <c r="H14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40" s="15" t="str">
        <f>IF(H140="Yes",COUNTIFS($H$2:$H$201,"Yes",$F$2:$F$201,"&gt;"&amp;F140)+COUNTIFS($H$2:H140,"Yes",$F$2:F140,F140),"")</f>
        <v/>
      </c>
      <c r="J140" s="7" t="str">
        <f t="shared" si="6"/>
        <v/>
      </c>
      <c r="K140" s="4" t="str">
        <f t="shared" si="7"/>
        <v>$0-$50</v>
      </c>
    </row>
    <row r="141" spans="1:11" hidden="1">
      <c r="A141" s="1" t="s">
        <v>545</v>
      </c>
      <c r="B141" s="1" t="s">
        <v>546</v>
      </c>
      <c r="C141" s="4">
        <v>4.9799999999999997E-2</v>
      </c>
      <c r="D141" s="3">
        <v>6.1999999999999998E-3</v>
      </c>
      <c r="E141" s="7">
        <v>5110000</v>
      </c>
      <c r="F141" s="7">
        <v>75107</v>
      </c>
      <c r="G141" s="6">
        <v>102560000</v>
      </c>
      <c r="H14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41" s="15">
        <f>IF(H141="Yes",COUNTIFS($H$2:$H$201,"Yes",$F$2:$F$201,"&gt;"&amp;F141)+COUNTIFS($H$2:H141,"Yes",$F$2:F141,F141),"")</f>
        <v>68</v>
      </c>
      <c r="J141" s="7" t="str">
        <f t="shared" si="6"/>
        <v/>
      </c>
      <c r="K141" s="4" t="str">
        <f t="shared" si="7"/>
        <v>$0-$50</v>
      </c>
    </row>
    <row r="142" spans="1:11" hidden="1">
      <c r="A142" s="1" t="s">
        <v>549</v>
      </c>
      <c r="B142" s="1" t="s">
        <v>550</v>
      </c>
      <c r="C142" s="4">
        <v>2.2479999999999999E-4</v>
      </c>
      <c r="D142" s="3">
        <v>1.5E-3</v>
      </c>
      <c r="E142" s="7">
        <v>4099999.9999999995</v>
      </c>
      <c r="F142" s="7">
        <v>193524</v>
      </c>
      <c r="G142" s="6">
        <v>18210000000</v>
      </c>
      <c r="H14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42" s="15">
        <f>IF(H142="Yes",COUNTIFS($H$2:$H$201,"Yes",$F$2:$F$201,"&gt;"&amp;F142)+COUNTIFS($H$2:H142,"Yes",$F$2:F142,F142),"")</f>
        <v>56</v>
      </c>
      <c r="J142" s="7" t="str">
        <f t="shared" si="6"/>
        <v/>
      </c>
      <c r="K142" s="4" t="str">
        <f t="shared" si="7"/>
        <v>$0-$50</v>
      </c>
    </row>
    <row r="143" spans="1:11" hidden="1">
      <c r="A143" s="1" t="s">
        <v>553</v>
      </c>
      <c r="B143" s="1" t="s">
        <v>554</v>
      </c>
      <c r="C143" s="4">
        <v>5.1470000000000002E-2</v>
      </c>
      <c r="D143" s="3">
        <v>4.6399999999999997E-2</v>
      </c>
      <c r="E143" s="7">
        <v>4059999.9999999995</v>
      </c>
      <c r="F143" s="7">
        <v>168650</v>
      </c>
      <c r="G143" s="6" t="s">
        <v>750</v>
      </c>
      <c r="H14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43" s="15" t="str">
        <f>IF(H143="Yes",COUNTIFS($H$2:$H$201,"Yes",$F$2:$F$201,"&gt;"&amp;F143)+COUNTIFS($H$2:H143,"Yes",$F$2:F143,F143),"")</f>
        <v/>
      </c>
      <c r="J143" s="7" t="str">
        <f t="shared" si="6"/>
        <v/>
      </c>
      <c r="K143" s="4" t="str">
        <f t="shared" si="7"/>
        <v>$0-$50</v>
      </c>
    </row>
    <row r="144" spans="1:11" hidden="1">
      <c r="A144" s="1" t="s">
        <v>557</v>
      </c>
      <c r="B144" s="1" t="s">
        <v>558</v>
      </c>
      <c r="C144" s="4">
        <v>1.908E-2</v>
      </c>
      <c r="D144" s="3">
        <v>5.6999999999999993E-3</v>
      </c>
      <c r="E144" s="7">
        <v>4040000</v>
      </c>
      <c r="F144" s="7">
        <v>4760489</v>
      </c>
      <c r="G144" s="6">
        <v>211700000</v>
      </c>
      <c r="H14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44" s="15" t="str">
        <f>IF(H144="Yes",COUNTIFS($H$2:$H$201,"Yes",$F$2:$F$201,"&gt;"&amp;F144)+COUNTIFS($H$2:H144,"Yes",$F$2:F144,F144),"")</f>
        <v/>
      </c>
      <c r="J144" s="7" t="str">
        <f t="shared" si="6"/>
        <v/>
      </c>
      <c r="K144" s="4" t="str">
        <f t="shared" si="7"/>
        <v>$0-$50</v>
      </c>
    </row>
    <row r="145" spans="1:11" hidden="1">
      <c r="A145" s="1" t="s">
        <v>561</v>
      </c>
      <c r="B145" s="1" t="s">
        <v>562</v>
      </c>
      <c r="C145" s="4">
        <v>1.9529999999999999E-2</v>
      </c>
      <c r="D145" s="3">
        <v>2.9999999999999997E-4</v>
      </c>
      <c r="E145" s="7">
        <v>4019999.9999999995</v>
      </c>
      <c r="F145" s="7">
        <v>4951893</v>
      </c>
      <c r="G145" s="6">
        <v>206030000</v>
      </c>
      <c r="H14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45" s="15" t="str">
        <f>IF(H145="Yes",COUNTIFS($H$2:$H$201,"Yes",$F$2:$F$201,"&gt;"&amp;F145)+COUNTIFS($H$2:H145,"Yes",$F$2:F145,F145),"")</f>
        <v/>
      </c>
      <c r="J145" s="7" t="str">
        <f t="shared" si="6"/>
        <v/>
      </c>
      <c r="K145" s="4" t="str">
        <f t="shared" si="7"/>
        <v>$0-$50</v>
      </c>
    </row>
    <row r="146" spans="1:11" hidden="1">
      <c r="A146" s="1" t="s">
        <v>565</v>
      </c>
      <c r="B146" s="1" t="s">
        <v>565</v>
      </c>
      <c r="C146" s="4">
        <v>5.3982000000000002E-2</v>
      </c>
      <c r="D146" s="3">
        <v>1.04E-2</v>
      </c>
      <c r="E146" s="7">
        <v>3980000</v>
      </c>
      <c r="F146" s="7">
        <v>727913</v>
      </c>
      <c r="G146" s="6">
        <v>999970000000</v>
      </c>
      <c r="H14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46" s="15" t="str">
        <f>IF(H146="Yes",COUNTIFS($H$2:$H$201,"Yes",$F$2:$F$201,"&gt;"&amp;F146)+COUNTIFS($H$2:H146,"Yes",$F$2:F146,F146),"")</f>
        <v/>
      </c>
      <c r="J146" s="7" t="str">
        <f t="shared" si="6"/>
        <v/>
      </c>
      <c r="K146" s="4" t="str">
        <f t="shared" si="7"/>
        <v>$0-$50</v>
      </c>
    </row>
    <row r="147" spans="1:11" hidden="1">
      <c r="A147" s="1" t="s">
        <v>568</v>
      </c>
      <c r="B147" s="1" t="s">
        <v>569</v>
      </c>
      <c r="C147" s="4">
        <v>2.34</v>
      </c>
      <c r="D147" s="3">
        <v>1.1999999999999999E-3</v>
      </c>
      <c r="E147" s="7">
        <v>4000000</v>
      </c>
      <c r="F147" s="7">
        <v>49144</v>
      </c>
      <c r="G147" s="6">
        <v>1700000</v>
      </c>
      <c r="H14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47" s="15" t="str">
        <f>IF(H147="Yes",COUNTIFS($H$2:$H$201,"Yes",$F$2:$F$201,"&gt;"&amp;F147)+COUNTIFS($H$2:H147,"Yes",$F$2:F147,F147),"")</f>
        <v/>
      </c>
      <c r="J147" s="7" t="str">
        <f t="shared" si="6"/>
        <v/>
      </c>
      <c r="K147" s="4" t="str">
        <f t="shared" si="7"/>
        <v>$0-$50</v>
      </c>
    </row>
    <row r="148" spans="1:11" hidden="1">
      <c r="A148" s="1" t="s">
        <v>572</v>
      </c>
      <c r="B148" s="1" t="s">
        <v>573</v>
      </c>
      <c r="C148" s="4">
        <v>3.3210000000000003E-2</v>
      </c>
      <c r="D148" s="3">
        <v>9.0000000000000011E-3</v>
      </c>
      <c r="E148" s="7">
        <v>3990000</v>
      </c>
      <c r="F148" s="7">
        <v>14376</v>
      </c>
      <c r="G148" s="6">
        <v>120000000</v>
      </c>
      <c r="H14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48" s="15">
        <f>IF(H148="Yes",COUNTIFS($H$2:$H$201,"Yes",$F$2:$F$201,"&gt;"&amp;F148)+COUNTIFS($H$2:H148,"Yes",$F$2:F148,F148),"")</f>
        <v>75</v>
      </c>
      <c r="J148" s="7" t="str">
        <f t="shared" si="6"/>
        <v/>
      </c>
      <c r="K148" s="4" t="str">
        <f t="shared" si="7"/>
        <v>$0-$50</v>
      </c>
    </row>
    <row r="149" spans="1:11" hidden="1">
      <c r="A149" s="1" t="s">
        <v>576</v>
      </c>
      <c r="B149" s="1" t="s">
        <v>577</v>
      </c>
      <c r="C149" s="4">
        <v>2.1639999999999999E-5</v>
      </c>
      <c r="D149" s="3">
        <v>1E-3</v>
      </c>
      <c r="E149" s="7">
        <v>3980000</v>
      </c>
      <c r="F149" s="7">
        <v>658</v>
      </c>
      <c r="G149" s="6">
        <v>184060000000</v>
      </c>
      <c r="H14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49" s="15">
        <f>IF(H149="Yes",COUNTIFS($H$2:$H$201,"Yes",$F$2:$F$201,"&gt;"&amp;F149)+COUNTIFS($H$2:H149,"Yes",$F$2:F149,F149),"")</f>
        <v>81</v>
      </c>
      <c r="J149" s="7" t="str">
        <f t="shared" si="6"/>
        <v/>
      </c>
      <c r="K149" s="4" t="str">
        <f t="shared" si="7"/>
        <v>$0-$50</v>
      </c>
    </row>
    <row r="150" spans="1:11" hidden="1">
      <c r="A150" s="1" t="s">
        <v>579</v>
      </c>
      <c r="B150" s="1" t="s">
        <v>580</v>
      </c>
      <c r="C150" s="4">
        <v>8.2830000000000001E-2</v>
      </c>
      <c r="D150" s="3">
        <v>1.72E-2</v>
      </c>
      <c r="E150" s="7">
        <v>3970000</v>
      </c>
      <c r="F150" s="7">
        <v>5822</v>
      </c>
      <c r="G150" s="6">
        <v>47890000</v>
      </c>
      <c r="H15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50" s="15" t="str">
        <f>IF(H150="Yes",COUNTIFS($H$2:$H$201,"Yes",$F$2:$F$201,"&gt;"&amp;F150)+COUNTIFS($H$2:H150,"Yes",$F$2:F150,F150),"")</f>
        <v/>
      </c>
      <c r="J150" s="7" t="str">
        <f t="shared" si="6"/>
        <v/>
      </c>
      <c r="K150" s="4" t="str">
        <f t="shared" si="7"/>
        <v>$0-$50</v>
      </c>
    </row>
    <row r="151" spans="1:11" hidden="1">
      <c r="A151" s="1" t="s">
        <v>583</v>
      </c>
      <c r="B151" s="1" t="s">
        <v>583</v>
      </c>
      <c r="C151" s="4">
        <v>0.53049999999999997</v>
      </c>
      <c r="D151" s="3">
        <v>6.8000000000000005E-3</v>
      </c>
      <c r="E151" s="7">
        <v>3940000</v>
      </c>
      <c r="F151" s="7">
        <v>85411</v>
      </c>
      <c r="G151" s="6">
        <v>7430000</v>
      </c>
      <c r="H15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51" s="15" t="str">
        <f>IF(H151="Yes",COUNTIFS($H$2:$H$201,"Yes",$F$2:$F$201,"&gt;"&amp;F151)+COUNTIFS($H$2:H151,"Yes",$F$2:F151,F151),"")</f>
        <v/>
      </c>
      <c r="J151" s="7" t="str">
        <f t="shared" si="6"/>
        <v/>
      </c>
      <c r="K151" s="4" t="str">
        <f t="shared" si="7"/>
        <v>$0-$50</v>
      </c>
    </row>
    <row r="152" spans="1:11" hidden="1">
      <c r="A152" s="1" t="s">
        <v>586</v>
      </c>
      <c r="B152" s="1" t="s">
        <v>587</v>
      </c>
      <c r="C152" s="4">
        <v>8.4449999999999994E-3</v>
      </c>
      <c r="D152" s="3">
        <v>2.0000000000000001E-4</v>
      </c>
      <c r="E152" s="7">
        <v>3230000</v>
      </c>
      <c r="F152" s="7">
        <v>2100</v>
      </c>
      <c r="G152" s="6">
        <v>382950000</v>
      </c>
      <c r="H15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52" s="15">
        <f>IF(H152="Yes",COUNTIFS($H$2:$H$201,"Yes",$F$2:$F$201,"&gt;"&amp;F152)+COUNTIFS($H$2:H152,"Yes",$F$2:F152,F152),"")</f>
        <v>78</v>
      </c>
      <c r="J152" s="7" t="str">
        <f t="shared" si="6"/>
        <v/>
      </c>
      <c r="K152" s="4" t="str">
        <f t="shared" si="7"/>
        <v>$0-$50</v>
      </c>
    </row>
    <row r="153" spans="1:11" hidden="1">
      <c r="A153" s="1" t="s">
        <v>590</v>
      </c>
      <c r="B153" s="1" t="s">
        <v>591</v>
      </c>
      <c r="C153" s="4">
        <v>2.8370000000000001E-5</v>
      </c>
      <c r="D153" s="3">
        <v>3.7000000000000002E-3</v>
      </c>
      <c r="E153" s="7">
        <v>3230000</v>
      </c>
      <c r="F153" s="7">
        <v>157680</v>
      </c>
      <c r="G153" s="6">
        <v>113750000000</v>
      </c>
      <c r="H15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53" s="15">
        <f>IF(H153="Yes",COUNTIFS($H$2:$H$201,"Yes",$F$2:$F$201,"&gt;"&amp;F153)+COUNTIFS($H$2:H153,"Yes",$F$2:F153,F153),"")</f>
        <v>60</v>
      </c>
      <c r="J153" s="7" t="str">
        <f t="shared" si="6"/>
        <v/>
      </c>
      <c r="K153" s="4" t="str">
        <f t="shared" si="7"/>
        <v>$0-$50</v>
      </c>
    </row>
    <row r="154" spans="1:11" hidden="1">
      <c r="A154" s="1" t="s">
        <v>593</v>
      </c>
      <c r="B154" s="1" t="s">
        <v>594</v>
      </c>
      <c r="C154" s="4">
        <v>8.03E-4</v>
      </c>
      <c r="D154" s="3">
        <v>2.0000000000000001E-4</v>
      </c>
      <c r="E154" s="7">
        <v>3230000</v>
      </c>
      <c r="F154" s="7">
        <v>72433</v>
      </c>
      <c r="G154" s="6">
        <v>4019999999.9999995</v>
      </c>
      <c r="H15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54" s="15">
        <f>IF(H154="Yes",COUNTIFS($H$2:$H$201,"Yes",$F$2:$F$201,"&gt;"&amp;F154)+COUNTIFS($H$2:H154,"Yes",$F$2:F154,F154),"")</f>
        <v>69</v>
      </c>
      <c r="J154" s="7" t="str">
        <f t="shared" si="6"/>
        <v/>
      </c>
      <c r="K154" s="4" t="str">
        <f t="shared" si="7"/>
        <v>$0-$50</v>
      </c>
    </row>
    <row r="155" spans="1:11" hidden="1">
      <c r="A155" s="1" t="s">
        <v>596</v>
      </c>
      <c r="B155" s="1" t="s">
        <v>597</v>
      </c>
      <c r="C155" s="4">
        <v>1.094E-2</v>
      </c>
      <c r="D155" s="3">
        <v>1.18E-2</v>
      </c>
      <c r="E155" s="7">
        <v>3220000</v>
      </c>
      <c r="F155" s="7">
        <v>117948</v>
      </c>
      <c r="G155" s="6">
        <v>294580000</v>
      </c>
      <c r="H15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55" s="15">
        <f>IF(H155="Yes",COUNTIFS($H$2:$H$201,"Yes",$F$2:$F$201,"&gt;"&amp;F155)+COUNTIFS($H$2:H155,"Yes",$F$2:F155,F155),"")</f>
        <v>65</v>
      </c>
      <c r="J155" s="7" t="str">
        <f t="shared" si="6"/>
        <v/>
      </c>
      <c r="K155" s="4" t="str">
        <f t="shared" si="7"/>
        <v>$0-$50</v>
      </c>
    </row>
    <row r="156" spans="1:11" hidden="1">
      <c r="A156" s="1" t="s">
        <v>600</v>
      </c>
      <c r="B156" s="1" t="s">
        <v>601</v>
      </c>
      <c r="C156" s="4">
        <v>0.17610000000000001</v>
      </c>
      <c r="D156" s="3">
        <v>3.3399999999999999E-2</v>
      </c>
      <c r="E156" s="7">
        <v>3230000</v>
      </c>
      <c r="F156" s="7">
        <v>1614</v>
      </c>
      <c r="G156" s="6">
        <v>18340000</v>
      </c>
      <c r="H15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56" s="15">
        <f>IF(H156="Yes",COUNTIFS($H$2:$H$201,"Yes",$F$2:$F$201,"&gt;"&amp;F156)+COUNTIFS($H$2:H156,"Yes",$F$2:F156,F156),"")</f>
        <v>80</v>
      </c>
      <c r="J156" s="7" t="str">
        <f t="shared" si="6"/>
        <v/>
      </c>
      <c r="K156" s="4" t="str">
        <f t="shared" si="7"/>
        <v>$0-$50</v>
      </c>
    </row>
    <row r="157" spans="1:11" hidden="1">
      <c r="A157" s="1" t="s">
        <v>603</v>
      </c>
      <c r="B157" s="1" t="s">
        <v>604</v>
      </c>
      <c r="C157" s="4">
        <v>1.286E-2</v>
      </c>
      <c r="D157" s="3">
        <v>2.0000000000000001E-4</v>
      </c>
      <c r="E157" s="7">
        <v>3230000</v>
      </c>
      <c r="F157" s="7">
        <v>1659</v>
      </c>
      <c r="G157" s="6">
        <v>250750000</v>
      </c>
      <c r="H15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57" s="15">
        <f>IF(H157="Yes",COUNTIFS($H$2:$H$201,"Yes",$F$2:$F$201,"&gt;"&amp;F157)+COUNTIFS($H$2:H157,"Yes",$F$2:F157,F157),"")</f>
        <v>79</v>
      </c>
      <c r="J157" s="7" t="str">
        <f t="shared" si="6"/>
        <v/>
      </c>
      <c r="K157" s="4" t="str">
        <f t="shared" si="7"/>
        <v>$0-$50</v>
      </c>
    </row>
    <row r="158" spans="1:11" hidden="1">
      <c r="A158" s="1" t="s">
        <v>606</v>
      </c>
      <c r="B158" s="1" t="s">
        <v>607</v>
      </c>
      <c r="C158" s="4">
        <v>7.7060000000000002E-3</v>
      </c>
      <c r="D158" s="3">
        <v>8.9999999999999998E-4</v>
      </c>
      <c r="E158" s="7">
        <v>3210000</v>
      </c>
      <c r="F158" s="7">
        <v>220065</v>
      </c>
      <c r="G158" s="6">
        <v>416640000</v>
      </c>
      <c r="H15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58" s="15" t="str">
        <f>IF(H158="Yes",COUNTIFS($H$2:$H$201,"Yes",$F$2:$F$201,"&gt;"&amp;F158)+COUNTIFS($H$2:H158,"Yes",$F$2:F158,F158),"")</f>
        <v/>
      </c>
      <c r="J158" s="7" t="str">
        <f t="shared" si="6"/>
        <v/>
      </c>
      <c r="K158" s="4" t="str">
        <f t="shared" si="7"/>
        <v>$0-$50</v>
      </c>
    </row>
    <row r="159" spans="1:11" hidden="1">
      <c r="A159" s="1" t="s">
        <v>610</v>
      </c>
      <c r="B159" s="1" t="s">
        <v>611</v>
      </c>
      <c r="C159" s="4">
        <v>1.06E-2</v>
      </c>
      <c r="D159" s="3">
        <v>1.61E-2</v>
      </c>
      <c r="E159" s="7">
        <v>3210000</v>
      </c>
      <c r="F159" s="7">
        <v>155287</v>
      </c>
      <c r="G159" s="6">
        <v>302730000</v>
      </c>
      <c r="H15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59" s="15">
        <f>IF(H159="Yes",COUNTIFS($H$2:$H$201,"Yes",$F$2:$F$201,"&gt;"&amp;F159)+COUNTIFS($H$2:H159,"Yes",$F$2:F159,F159),"")</f>
        <v>61</v>
      </c>
      <c r="J159" s="7" t="str">
        <f t="shared" si="6"/>
        <v/>
      </c>
      <c r="K159" s="4" t="str">
        <f t="shared" si="7"/>
        <v>$0-$50</v>
      </c>
    </row>
    <row r="160" spans="1:11" hidden="1">
      <c r="A160" s="1" t="s">
        <v>613</v>
      </c>
      <c r="B160" s="1" t="s">
        <v>614</v>
      </c>
      <c r="C160" s="4">
        <v>7.4697E-2</v>
      </c>
      <c r="D160" s="3">
        <v>1.1000000000000001E-3</v>
      </c>
      <c r="E160" s="7">
        <v>3200000</v>
      </c>
      <c r="F160" s="7">
        <v>239395</v>
      </c>
      <c r="G160" s="6" t="s">
        <v>750</v>
      </c>
      <c r="H16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60" s="15">
        <f>IF(H160="Yes",COUNTIFS($H$2:$H$201,"Yes",$F$2:$F$201,"&gt;"&amp;F160)+COUNTIFS($H$2:H160,"Yes",$F$2:F160,F160),"")</f>
        <v>54</v>
      </c>
      <c r="J160" s="7" t="str">
        <f t="shared" si="6"/>
        <v/>
      </c>
      <c r="K160" s="4" t="str">
        <f t="shared" si="7"/>
        <v>$0-$50</v>
      </c>
    </row>
    <row r="161" spans="1:11" hidden="1">
      <c r="A161" s="1" t="s">
        <v>617</v>
      </c>
      <c r="B161" s="1" t="s">
        <v>618</v>
      </c>
      <c r="C161" s="4">
        <v>6.9080000000000001E-3</v>
      </c>
      <c r="D161" s="3">
        <v>1.1999999999999999E-3</v>
      </c>
      <c r="E161" s="7">
        <v>3180000</v>
      </c>
      <c r="F161" s="7">
        <v>977333</v>
      </c>
      <c r="G161" s="6">
        <v>460370000</v>
      </c>
      <c r="H16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61" s="15" t="str">
        <f>IF(H161="Yes",COUNTIFS($H$2:$H$201,"Yes",$F$2:$F$201,"&gt;"&amp;F161)+COUNTIFS($H$2:H161,"Yes",$F$2:F161,F161),"")</f>
        <v/>
      </c>
      <c r="J161" s="7" t="str">
        <f t="shared" si="6"/>
        <v/>
      </c>
      <c r="K161" s="4" t="str">
        <f t="shared" si="7"/>
        <v>$0-$50</v>
      </c>
    </row>
    <row r="162" spans="1:11" hidden="1">
      <c r="A162" s="1" t="s">
        <v>621</v>
      </c>
      <c r="B162" s="1" t="s">
        <v>622</v>
      </c>
      <c r="C162" s="4">
        <v>2.632E-2</v>
      </c>
      <c r="D162" s="3">
        <v>2.6699999999999998E-2</v>
      </c>
      <c r="E162" s="7">
        <v>2580000</v>
      </c>
      <c r="F162" s="7">
        <v>721481</v>
      </c>
      <c r="G162" s="6">
        <v>98000000</v>
      </c>
      <c r="H16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62" s="15" t="str">
        <f>IF(H162="Yes",COUNTIFS($H$2:$H$201,"Yes",$F$2:$F$201,"&gt;"&amp;F162)+COUNTIFS($H$2:H162,"Yes",$F$2:F162,F162),"")</f>
        <v/>
      </c>
      <c r="J162" s="7" t="str">
        <f t="shared" ref="J162:J193" si="8">IF(AND(H162="Yes",F162&lt;&gt;"",ISNUMBER(F162),I162&gt;=1,I162&lt;=10),"Top 10","")</f>
        <v/>
      </c>
      <c r="K162" s="4" t="str">
        <f t="shared" si="7"/>
        <v>$0-$50</v>
      </c>
    </row>
    <row r="163" spans="1:11" hidden="1">
      <c r="A163" s="1" t="s">
        <v>625</v>
      </c>
      <c r="B163" s="1" t="s">
        <v>626</v>
      </c>
      <c r="C163" s="4">
        <v>4.2319999999999999E-4</v>
      </c>
      <c r="D163" s="3">
        <v>9.7000000000000003E-3</v>
      </c>
      <c r="E163" s="7">
        <v>2580000</v>
      </c>
      <c r="F163" s="7">
        <v>1422530</v>
      </c>
      <c r="G163" s="6">
        <v>6080000000</v>
      </c>
      <c r="H16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63" s="15" t="str">
        <f>IF(H163="Yes",COUNTIFS($H$2:$H$201,"Yes",$F$2:$F$201,"&gt;"&amp;F163)+COUNTIFS($H$2:H163,"Yes",$F$2:F163,F163),"")</f>
        <v/>
      </c>
      <c r="J163" s="7" t="str">
        <f t="shared" si="8"/>
        <v/>
      </c>
      <c r="K163" s="4" t="str">
        <f t="shared" si="7"/>
        <v>$0-$50</v>
      </c>
    </row>
    <row r="164" spans="1:11" hidden="1">
      <c r="A164" s="1" t="s">
        <v>628</v>
      </c>
      <c r="B164" s="1" t="s">
        <v>629</v>
      </c>
      <c r="C164" s="4">
        <v>8.6726999999999999E-2</v>
      </c>
      <c r="D164" s="3">
        <v>0</v>
      </c>
      <c r="E164" s="7">
        <v>2570000</v>
      </c>
      <c r="F164" s="7" t="s">
        <v>750</v>
      </c>
      <c r="G164" s="6" t="s">
        <v>750</v>
      </c>
      <c r="H16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64" s="15" t="str">
        <f>IF(H164="Yes",COUNTIFS($H$2:$H$201,"Yes",$F$2:$F$201,"&gt;"&amp;F164)+COUNTIFS($H$2:H164,"Yes",$F$2:F164,F164),"")</f>
        <v/>
      </c>
      <c r="J164" s="7" t="str">
        <f t="shared" si="8"/>
        <v/>
      </c>
      <c r="K164" s="4" t="str">
        <f t="shared" si="7"/>
        <v>$0-$50</v>
      </c>
    </row>
    <row r="165" spans="1:11" hidden="1">
      <c r="A165" s="1" t="s">
        <v>632</v>
      </c>
      <c r="B165" s="1" t="s">
        <v>632</v>
      </c>
      <c r="C165" s="4">
        <v>2.2959999999999999E-3</v>
      </c>
      <c r="D165" s="3">
        <v>1E-3</v>
      </c>
      <c r="E165" s="7">
        <v>2570000</v>
      </c>
      <c r="F165" s="7">
        <v>107281</v>
      </c>
      <c r="G165" s="6">
        <v>1110000000</v>
      </c>
      <c r="H16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65" s="15" t="str">
        <f>IF(H165="Yes",COUNTIFS($H$2:$H$201,"Yes",$F$2:$F$201,"&gt;"&amp;F165)+COUNTIFS($H$2:H165,"Yes",$F$2:F165,F165),"")</f>
        <v/>
      </c>
      <c r="J165" s="7" t="str">
        <f t="shared" si="8"/>
        <v/>
      </c>
      <c r="K165" s="4" t="str">
        <f t="shared" si="7"/>
        <v>$0-$50</v>
      </c>
    </row>
    <row r="166" spans="1:11" hidden="1">
      <c r="A166" s="1" t="s">
        <v>633</v>
      </c>
      <c r="B166" s="1" t="s">
        <v>634</v>
      </c>
      <c r="C166" s="4">
        <v>5.638E-2</v>
      </c>
      <c r="D166" s="3">
        <v>2.4799999999999999E-2</v>
      </c>
      <c r="E166" s="7">
        <v>2510000</v>
      </c>
      <c r="F166" s="7">
        <v>465</v>
      </c>
      <c r="G166" s="6">
        <v>393400000000</v>
      </c>
      <c r="H16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66" s="15" t="str">
        <f>IF(H166="Yes",COUNTIFS($H$2:$H$201,"Yes",$F$2:$F$201,"&gt;"&amp;F166)+COUNTIFS($H$2:H166,"Yes",$F$2:F166,F166),"")</f>
        <v/>
      </c>
      <c r="J166" s="7" t="str">
        <f t="shared" si="8"/>
        <v/>
      </c>
      <c r="K166" s="4" t="str">
        <f t="shared" si="7"/>
        <v>$0-$50</v>
      </c>
    </row>
    <row r="167" spans="1:11" hidden="1">
      <c r="A167" s="1" t="s">
        <v>637</v>
      </c>
      <c r="B167" s="1" t="s">
        <v>638</v>
      </c>
      <c r="C167" s="4">
        <v>4.8439999999999997E-2</v>
      </c>
      <c r="D167" s="3">
        <v>1.1000000000000001E-3</v>
      </c>
      <c r="E167" s="7">
        <v>2560000</v>
      </c>
      <c r="F167" s="7">
        <v>174927</v>
      </c>
      <c r="G167" s="6">
        <v>52850000</v>
      </c>
      <c r="H16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67" s="15">
        <f>IF(H167="Yes",COUNTIFS($H$2:$H$201,"Yes",$F$2:$F$201,"&gt;"&amp;F167)+COUNTIFS($H$2:H167,"Yes",$F$2:F167,F167),"")</f>
        <v>59</v>
      </c>
      <c r="J167" s="7" t="str">
        <f t="shared" si="8"/>
        <v/>
      </c>
      <c r="K167" s="4" t="str">
        <f t="shared" si="7"/>
        <v>$0-$50</v>
      </c>
    </row>
    <row r="168" spans="1:11" hidden="1">
      <c r="A168" s="1" t="s">
        <v>641</v>
      </c>
      <c r="B168" s="1" t="s">
        <v>642</v>
      </c>
      <c r="C168" s="4">
        <v>5.2623999999999997E-2</v>
      </c>
      <c r="D168" s="3">
        <v>4.0000000000000002E-4</v>
      </c>
      <c r="E168" s="7">
        <v>2530000</v>
      </c>
      <c r="F168" s="7">
        <v>287</v>
      </c>
      <c r="G168" s="6">
        <v>964460000000</v>
      </c>
      <c r="H16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68" s="15">
        <f>IF(H168="Yes",COUNTIFS($H$2:$H$201,"Yes",$F$2:$F$201,"&gt;"&amp;F168)+COUNTIFS($H$2:H168,"Yes",$F$2:F168,F168),"")</f>
        <v>82</v>
      </c>
      <c r="J168" s="7" t="str">
        <f t="shared" si="8"/>
        <v/>
      </c>
      <c r="K168" s="4" t="str">
        <f t="shared" si="7"/>
        <v>$0-$50</v>
      </c>
    </row>
    <row r="169" spans="1:11" hidden="1">
      <c r="A169" s="1" t="s">
        <v>645</v>
      </c>
      <c r="B169" s="1" t="s">
        <v>646</v>
      </c>
      <c r="C169" s="4">
        <v>2.5270000000000002E-3</v>
      </c>
      <c r="D169" s="3">
        <v>5.8999999999999999E-3</v>
      </c>
      <c r="E169" s="7">
        <v>2530000</v>
      </c>
      <c r="F169" s="7">
        <v>274603</v>
      </c>
      <c r="G169" s="6">
        <v>1000000000</v>
      </c>
      <c r="H16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69" s="15">
        <f>IF(H169="Yes",COUNTIFS($H$2:$H$201,"Yes",$F$2:$F$201,"&gt;"&amp;F169)+COUNTIFS($H$2:H169,"Yes",$F$2:F169,F169),"")</f>
        <v>52</v>
      </c>
      <c r="J169" s="7" t="str">
        <f t="shared" si="8"/>
        <v/>
      </c>
      <c r="K169" s="4" t="str">
        <f t="shared" si="7"/>
        <v>$0-$50</v>
      </c>
    </row>
    <row r="170" spans="1:11" hidden="1">
      <c r="A170" s="1" t="s">
        <v>647</v>
      </c>
      <c r="B170" s="1" t="s">
        <v>648</v>
      </c>
      <c r="C170" s="4">
        <v>2.283E-2</v>
      </c>
      <c r="D170" s="3">
        <v>3.2000000000000002E-3</v>
      </c>
      <c r="E170" s="7">
        <v>2520000</v>
      </c>
      <c r="F170" s="7">
        <v>69191</v>
      </c>
      <c r="G170" s="6">
        <v>110370000</v>
      </c>
      <c r="H17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70" s="15">
        <f>IF(H170="Yes",COUNTIFS($H$2:$H$201,"Yes",$F$2:$F$201,"&gt;"&amp;F170)+COUNTIFS($H$2:H170,"Yes",$F$2:F170,F170),"")</f>
        <v>70</v>
      </c>
      <c r="J170" s="7" t="str">
        <f t="shared" si="8"/>
        <v/>
      </c>
      <c r="K170" s="4" t="str">
        <f t="shared" si="7"/>
        <v>$0-$50</v>
      </c>
    </row>
    <row r="171" spans="1:11" hidden="1">
      <c r="A171" s="1" t="s">
        <v>651</v>
      </c>
      <c r="B171" s="1" t="s">
        <v>651</v>
      </c>
      <c r="C171" s="4">
        <v>2.6020000000000001E-3</v>
      </c>
      <c r="D171" s="3">
        <v>8.0000000000000002E-3</v>
      </c>
      <c r="E171" s="7">
        <v>2520000</v>
      </c>
      <c r="F171" s="7">
        <v>34103</v>
      </c>
      <c r="G171" s="6">
        <v>967150000</v>
      </c>
      <c r="H17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71" s="15">
        <f>IF(H171="Yes",COUNTIFS($H$2:$H$201,"Yes",$F$2:$F$201,"&gt;"&amp;F171)+COUNTIFS($H$2:H171,"Yes",$F$2:F171,F171),"")</f>
        <v>72</v>
      </c>
      <c r="J171" s="7" t="str">
        <f t="shared" si="8"/>
        <v/>
      </c>
      <c r="K171" s="4" t="str">
        <f t="shared" si="7"/>
        <v>$0-$50</v>
      </c>
    </row>
    <row r="172" spans="1:11" hidden="1">
      <c r="A172" s="1" t="s">
        <v>653</v>
      </c>
      <c r="B172" s="1" t="s">
        <v>653</v>
      </c>
      <c r="C172" s="4">
        <v>1.772E-2</v>
      </c>
      <c r="D172" s="3">
        <v>8.1000000000000013E-3</v>
      </c>
      <c r="E172" s="7">
        <v>2000000</v>
      </c>
      <c r="F172" s="7">
        <v>1983713</v>
      </c>
      <c r="G172" s="6">
        <v>112880000</v>
      </c>
      <c r="H17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72" s="15" t="str">
        <f>IF(H172="Yes",COUNTIFS($H$2:$H$201,"Yes",$F$2:$F$201,"&gt;"&amp;F172)+COUNTIFS($H$2:H172,"Yes",$F$2:F172,F172),"")</f>
        <v/>
      </c>
      <c r="J172" s="7" t="str">
        <f t="shared" si="8"/>
        <v/>
      </c>
      <c r="K172" s="4" t="str">
        <f t="shared" si="7"/>
        <v>$0-$50</v>
      </c>
    </row>
    <row r="173" spans="1:11" hidden="1">
      <c r="A173" s="1" t="s">
        <v>656</v>
      </c>
      <c r="B173" s="1" t="s">
        <v>657</v>
      </c>
      <c r="C173" s="4">
        <v>2.003E-3</v>
      </c>
      <c r="D173" s="3">
        <v>1.5800000000000002E-2</v>
      </c>
      <c r="E173" s="7">
        <v>2000000</v>
      </c>
      <c r="F173" s="7">
        <v>944920</v>
      </c>
      <c r="G173" s="6">
        <v>1000000000</v>
      </c>
      <c r="H17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73" s="15" t="str">
        <f>IF(H173="Yes",COUNTIFS($H$2:$H$201,"Yes",$F$2:$F$201,"&gt;"&amp;F173)+COUNTIFS($H$2:H173,"Yes",$F$2:F173,F173),"")</f>
        <v/>
      </c>
      <c r="J173" s="7" t="str">
        <f t="shared" si="8"/>
        <v/>
      </c>
      <c r="K173" s="4" t="str">
        <f t="shared" si="7"/>
        <v>$0-$50</v>
      </c>
    </row>
    <row r="174" spans="1:11" hidden="1">
      <c r="A174" s="1" t="s">
        <v>658</v>
      </c>
      <c r="B174" s="1" t="s">
        <v>659</v>
      </c>
      <c r="C174" s="4">
        <v>0.73839999999999995</v>
      </c>
      <c r="D174" s="3">
        <v>8.9999999999999998E-4</v>
      </c>
      <c r="E174" s="7">
        <v>1990000</v>
      </c>
      <c r="F174" s="7" t="s">
        <v>750</v>
      </c>
      <c r="G174" s="6">
        <v>2700000</v>
      </c>
      <c r="H17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74" s="15" t="str">
        <f>IF(H174="Yes",COUNTIFS($H$2:$H$201,"Yes",$F$2:$F$201,"&gt;"&amp;F174)+COUNTIFS($H$2:H174,"Yes",$F$2:F174,F174),"")</f>
        <v/>
      </c>
      <c r="J174" s="7" t="str">
        <f t="shared" si="8"/>
        <v/>
      </c>
      <c r="K174" s="4" t="str">
        <f t="shared" si="7"/>
        <v>$0-$50</v>
      </c>
    </row>
    <row r="175" spans="1:11" hidden="1">
      <c r="A175" s="1" t="s">
        <v>662</v>
      </c>
      <c r="B175" s="1" t="s">
        <v>662</v>
      </c>
      <c r="C175" s="4">
        <v>2.032E-3</v>
      </c>
      <c r="D175" s="3">
        <v>1.5600000000000001E-2</v>
      </c>
      <c r="E175" s="7">
        <v>1990000</v>
      </c>
      <c r="F175" s="7">
        <v>25840</v>
      </c>
      <c r="G175" s="6">
        <v>978950000</v>
      </c>
      <c r="H17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75" s="15" t="str">
        <f>IF(H175="Yes",COUNTIFS($H$2:$H$201,"Yes",$F$2:$F$201,"&gt;"&amp;F175)+COUNTIFS($H$2:H175,"Yes",$F$2:F175,F175),"")</f>
        <v/>
      </c>
      <c r="J175" s="7" t="str">
        <f t="shared" si="8"/>
        <v/>
      </c>
      <c r="K175" s="4" t="str">
        <f t="shared" si="7"/>
        <v>$0-$50</v>
      </c>
    </row>
    <row r="176" spans="1:11" hidden="1">
      <c r="A176" s="1" t="s">
        <v>664</v>
      </c>
      <c r="B176" s="1" t="s">
        <v>665</v>
      </c>
      <c r="C176" s="4">
        <v>4.5649999999999996E-3</v>
      </c>
      <c r="D176" s="3">
        <v>1E-3</v>
      </c>
      <c r="E176" s="7">
        <v>1990000</v>
      </c>
      <c r="F176" s="7">
        <v>290910</v>
      </c>
      <c r="G176" s="6">
        <v>436070000</v>
      </c>
      <c r="H17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76" s="15" t="str">
        <f>IF(H176="Yes",COUNTIFS($H$2:$H$201,"Yes",$F$2:$F$201,"&gt;"&amp;F176)+COUNTIFS($H$2:H176,"Yes",$F$2:F176,F176),"")</f>
        <v/>
      </c>
      <c r="J176" s="7" t="str">
        <f t="shared" si="8"/>
        <v/>
      </c>
      <c r="K176" s="4" t="str">
        <f t="shared" si="7"/>
        <v>$0-$50</v>
      </c>
    </row>
    <row r="177" spans="1:11" hidden="1">
      <c r="A177" s="1" t="s">
        <v>667</v>
      </c>
      <c r="B177" s="1" t="s">
        <v>668</v>
      </c>
      <c r="C177" s="4">
        <v>3.1009999999999999E-2</v>
      </c>
      <c r="D177" s="3">
        <v>1.21E-2</v>
      </c>
      <c r="E177" s="7">
        <v>1990000</v>
      </c>
      <c r="F177" s="7">
        <v>1872</v>
      </c>
      <c r="G177" s="6">
        <v>63990000</v>
      </c>
      <c r="H17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77" s="15" t="str">
        <f>IF(H177="Yes",COUNTIFS($H$2:$H$201,"Yes",$F$2:$F$201,"&gt;"&amp;F177)+COUNTIFS($H$2:H177,"Yes",$F$2:F177,F177),"")</f>
        <v/>
      </c>
      <c r="J177" s="7" t="str">
        <f t="shared" si="8"/>
        <v/>
      </c>
      <c r="K177" s="4" t="str">
        <f t="shared" si="7"/>
        <v>$0-$50</v>
      </c>
    </row>
    <row r="178" spans="1:11" hidden="1">
      <c r="A178" s="1" t="s">
        <v>670</v>
      </c>
      <c r="B178" s="1" t="s">
        <v>671</v>
      </c>
      <c r="C178" s="4">
        <v>1.5070000000000001E-3</v>
      </c>
      <c r="D178" s="3">
        <v>2.9999999999999997E-4</v>
      </c>
      <c r="E178" s="7">
        <v>1980000</v>
      </c>
      <c r="F178" s="7">
        <v>117957</v>
      </c>
      <c r="G178" s="6">
        <v>1310000000</v>
      </c>
      <c r="H17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78" s="15" t="str">
        <f>IF(H178="Yes",COUNTIFS($H$2:$H$201,"Yes",$F$2:$F$201,"&gt;"&amp;F178)+COUNTIFS($H$2:H178,"Yes",$F$2:F178,F178),"")</f>
        <v/>
      </c>
      <c r="J178" s="7" t="str">
        <f t="shared" si="8"/>
        <v/>
      </c>
      <c r="K178" s="4" t="str">
        <f t="shared" si="7"/>
        <v>$0-$50</v>
      </c>
    </row>
    <row r="179" spans="1:11" hidden="1">
      <c r="A179" s="1" t="s">
        <v>674</v>
      </c>
      <c r="B179" s="1" t="s">
        <v>675</v>
      </c>
      <c r="C179" s="4">
        <v>0.1976</v>
      </c>
      <c r="D179" s="3">
        <v>1.2E-2</v>
      </c>
      <c r="E179" s="7">
        <v>1980000</v>
      </c>
      <c r="F179" s="7">
        <v>858809</v>
      </c>
      <c r="G179" s="6">
        <v>10000000</v>
      </c>
      <c r="H17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79" s="15">
        <f>IF(H179="Yes",COUNTIFS($H$2:$H$201,"Yes",$F$2:$F$201,"&gt;"&amp;F179)+COUNTIFS($H$2:H179,"Yes",$F$2:F179,F179),"")</f>
        <v>42</v>
      </c>
      <c r="J179" s="7" t="str">
        <f t="shared" si="8"/>
        <v/>
      </c>
      <c r="K179" s="4" t="str">
        <f t="shared" si="7"/>
        <v>$0-$50</v>
      </c>
    </row>
    <row r="180" spans="1:11" hidden="1">
      <c r="A180" s="1" t="s">
        <v>677</v>
      </c>
      <c r="B180" s="1" t="s">
        <v>678</v>
      </c>
      <c r="C180" s="4">
        <v>2.4190000000000001E-3</v>
      </c>
      <c r="D180" s="3">
        <v>9.7000000000000003E-3</v>
      </c>
      <c r="E180" s="7">
        <v>1970000</v>
      </c>
      <c r="F180" s="7">
        <v>62197</v>
      </c>
      <c r="G180" s="6">
        <v>814340000</v>
      </c>
      <c r="H18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80" s="15" t="str">
        <f>IF(H180="Yes",COUNTIFS($H$2:$H$201,"Yes",$F$2:$F$201,"&gt;"&amp;F180)+COUNTIFS($H$2:H180,"Yes",$F$2:F180,F180),"")</f>
        <v/>
      </c>
      <c r="J180" s="7" t="str">
        <f t="shared" si="8"/>
        <v/>
      </c>
      <c r="K180" s="4" t="str">
        <f t="shared" si="7"/>
        <v>$0-$50</v>
      </c>
    </row>
    <row r="181" spans="1:11" hidden="1">
      <c r="A181" s="1" t="s">
        <v>681</v>
      </c>
      <c r="B181" s="1" t="s">
        <v>682</v>
      </c>
      <c r="C181" s="4">
        <v>3.1489999999999999E-3</v>
      </c>
      <c r="D181" s="3">
        <v>0</v>
      </c>
      <c r="E181" s="7">
        <v>1970000</v>
      </c>
      <c r="F181" s="7">
        <v>109870</v>
      </c>
      <c r="G181" s="6">
        <v>625430000</v>
      </c>
      <c r="H18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81" s="15" t="str">
        <f>IF(H181="Yes",COUNTIFS($H$2:$H$201,"Yes",$F$2:$F$201,"&gt;"&amp;F181)+COUNTIFS($H$2:H181,"Yes",$F$2:F181,F181),"")</f>
        <v/>
      </c>
      <c r="J181" s="7" t="str">
        <f t="shared" si="8"/>
        <v/>
      </c>
      <c r="K181" s="4" t="str">
        <f t="shared" si="7"/>
        <v>$0-$50</v>
      </c>
    </row>
    <row r="182" spans="1:11" hidden="1">
      <c r="A182" s="1" t="s">
        <v>684</v>
      </c>
      <c r="B182" s="1" t="s">
        <v>685</v>
      </c>
      <c r="C182" s="4">
        <v>7.8279999999999999E-3</v>
      </c>
      <c r="D182" s="3">
        <v>0.18789999999999998</v>
      </c>
      <c r="E182" s="7">
        <v>1600000</v>
      </c>
      <c r="F182" s="7">
        <v>106039</v>
      </c>
      <c r="G182" s="6">
        <v>203920000</v>
      </c>
      <c r="H18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82" s="15">
        <f>IF(H182="Yes",COUNTIFS($H$2:$H$201,"Yes",$F$2:$F$201,"&gt;"&amp;F182)+COUNTIFS($H$2:H182,"Yes",$F$2:F182,F182),"")</f>
        <v>67</v>
      </c>
      <c r="J182" s="7" t="str">
        <f t="shared" si="8"/>
        <v/>
      </c>
      <c r="K182" s="4" t="str">
        <f t="shared" si="7"/>
        <v>$0-$50</v>
      </c>
    </row>
    <row r="183" spans="1:11" hidden="1">
      <c r="A183" s="1" t="s">
        <v>688</v>
      </c>
      <c r="B183" s="1" t="s">
        <v>689</v>
      </c>
      <c r="C183" s="4">
        <v>6.6490000000000004E-3</v>
      </c>
      <c r="D183" s="3">
        <v>0</v>
      </c>
      <c r="E183" s="7">
        <v>1590000</v>
      </c>
      <c r="F183" s="7">
        <v>36</v>
      </c>
      <c r="G183" s="6">
        <v>239740000</v>
      </c>
      <c r="H18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83" s="15">
        <f>IF(H183="Yes",COUNTIFS($H$2:$H$201,"Yes",$F$2:$F$201,"&gt;"&amp;F183)+COUNTIFS($H$2:H183,"Yes",$F$2:F183,F183),"")</f>
        <v>84</v>
      </c>
      <c r="J183" s="7" t="str">
        <f t="shared" si="8"/>
        <v/>
      </c>
      <c r="K183" s="4" t="str">
        <f t="shared" si="7"/>
        <v>$0-$50</v>
      </c>
    </row>
    <row r="184" spans="1:11" hidden="1">
      <c r="A184" s="1" t="s">
        <v>692</v>
      </c>
      <c r="B184" s="1" t="s">
        <v>693</v>
      </c>
      <c r="C184" s="4">
        <v>9.6310000000000007E-3</v>
      </c>
      <c r="D184" s="3">
        <v>2.8000000000000004E-3</v>
      </c>
      <c r="E184" s="7">
        <v>1590000</v>
      </c>
      <c r="F184" s="7">
        <v>201257</v>
      </c>
      <c r="G184" s="6">
        <v>165280000</v>
      </c>
      <c r="H18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84" s="15" t="str">
        <f>IF(H184="Yes",COUNTIFS($H$2:$H$201,"Yes",$F$2:$F$201,"&gt;"&amp;F184)+COUNTIFS($H$2:H184,"Yes",$F$2:F184,F184),"")</f>
        <v/>
      </c>
      <c r="J184" s="7" t="str">
        <f t="shared" si="8"/>
        <v/>
      </c>
      <c r="K184" s="4" t="str">
        <f t="shared" si="7"/>
        <v>$0-$50</v>
      </c>
    </row>
    <row r="185" spans="1:11" hidden="1">
      <c r="A185" s="1" t="s">
        <v>695</v>
      </c>
      <c r="B185" s="1" t="s">
        <v>696</v>
      </c>
      <c r="C185" s="4">
        <v>5.9199999999999997E-4</v>
      </c>
      <c r="D185" s="3">
        <v>6.8000000000000005E-3</v>
      </c>
      <c r="E185" s="7">
        <v>1590000</v>
      </c>
      <c r="F185" s="7">
        <v>1660204</v>
      </c>
      <c r="G185" s="6">
        <v>2670000000</v>
      </c>
      <c r="H18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85" s="15">
        <f>IF(H185="Yes",COUNTIFS($H$2:$H$201,"Yes",$F$2:$F$201,"&gt;"&amp;F185)+COUNTIFS($H$2:H185,"Yes",$F$2:F185,F185),"")</f>
        <v>31</v>
      </c>
      <c r="J185" s="7" t="str">
        <f t="shared" si="8"/>
        <v/>
      </c>
      <c r="K185" s="4" t="str">
        <f t="shared" si="7"/>
        <v>$0-$50</v>
      </c>
    </row>
    <row r="186" spans="1:11" hidden="1">
      <c r="A186" s="1" t="s">
        <v>698</v>
      </c>
      <c r="B186" s="1" t="s">
        <v>698</v>
      </c>
      <c r="C186" s="4">
        <v>3.4099999999999998E-3</v>
      </c>
      <c r="D186" s="3">
        <v>3.0999999999999999E-3</v>
      </c>
      <c r="E186" s="7">
        <v>1580000</v>
      </c>
      <c r="F186" s="7">
        <v>115234</v>
      </c>
      <c r="G186" s="6">
        <v>462040000</v>
      </c>
      <c r="H18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86" s="15">
        <f>IF(H186="Yes",COUNTIFS($H$2:$H$201,"Yes",$F$2:$F$201,"&gt;"&amp;F186)+COUNTIFS($H$2:H186,"Yes",$F$2:F186,F186),"")</f>
        <v>66</v>
      </c>
      <c r="J186" s="7" t="str">
        <f t="shared" si="8"/>
        <v/>
      </c>
      <c r="K186" s="4" t="str">
        <f t="shared" si="7"/>
        <v>$0-$50</v>
      </c>
    </row>
    <row r="187" spans="1:11" hidden="1">
      <c r="A187" s="1" t="s">
        <v>701</v>
      </c>
      <c r="B187" s="1" t="s">
        <v>702</v>
      </c>
      <c r="C187" s="4">
        <v>7.5139999999999998E-2</v>
      </c>
      <c r="D187" s="3">
        <v>1E-4</v>
      </c>
      <c r="E187" s="7">
        <v>1580000</v>
      </c>
      <c r="F187" s="7">
        <v>119741</v>
      </c>
      <c r="G187" s="6">
        <v>21000000</v>
      </c>
      <c r="H18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87" s="15">
        <f>IF(H187="Yes",COUNTIFS($H$2:$H$201,"Yes",$F$2:$F$201,"&gt;"&amp;F187)+COUNTIFS($H$2:H187,"Yes",$F$2:F187,F187),"")</f>
        <v>64</v>
      </c>
      <c r="J187" s="7" t="str">
        <f t="shared" si="8"/>
        <v/>
      </c>
      <c r="K187" s="4" t="str">
        <f t="shared" si="7"/>
        <v>$0-$50</v>
      </c>
    </row>
    <row r="188" spans="1:11" hidden="1">
      <c r="A188" s="1" t="s">
        <v>703</v>
      </c>
      <c r="B188" s="1" t="s">
        <v>704</v>
      </c>
      <c r="C188" s="4">
        <v>7.633E-3</v>
      </c>
      <c r="D188" s="3">
        <v>1.1000000000000001E-2</v>
      </c>
      <c r="E188" s="7">
        <v>1580000</v>
      </c>
      <c r="F188" s="7">
        <v>43846</v>
      </c>
      <c r="G188" s="6">
        <v>206350000</v>
      </c>
      <c r="H18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88" s="15" t="str">
        <f>IF(H188="Yes",COUNTIFS($H$2:$H$201,"Yes",$F$2:$F$201,"&gt;"&amp;F188)+COUNTIFS($H$2:H188,"Yes",$F$2:F188,F188),"")</f>
        <v/>
      </c>
      <c r="J188" s="7" t="str">
        <f t="shared" si="8"/>
        <v/>
      </c>
      <c r="K188" s="4" t="str">
        <f t="shared" si="7"/>
        <v>$0-$50</v>
      </c>
    </row>
    <row r="189" spans="1:11" hidden="1">
      <c r="A189" s="1" t="s">
        <v>706</v>
      </c>
      <c r="B189" s="1" t="s">
        <v>707</v>
      </c>
      <c r="C189" s="4">
        <v>6.391E-3</v>
      </c>
      <c r="D189" s="3">
        <v>0</v>
      </c>
      <c r="E189" s="7">
        <v>1570000</v>
      </c>
      <c r="F189" s="7" t="s">
        <v>750</v>
      </c>
      <c r="G189" s="6">
        <v>245890000</v>
      </c>
      <c r="H18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89" s="15" t="str">
        <f>IF(H189="Yes",COUNTIFS($H$2:$H$201,"Yes",$F$2:$F$201,"&gt;"&amp;F189)+COUNTIFS($H$2:H189,"Yes",$F$2:F189,F189),"")</f>
        <v/>
      </c>
      <c r="J189" s="7" t="str">
        <f t="shared" si="8"/>
        <v/>
      </c>
      <c r="K189" s="4" t="str">
        <f t="shared" si="7"/>
        <v>$0-$50</v>
      </c>
    </row>
    <row r="190" spans="1:11" hidden="1">
      <c r="A190" s="1" t="s">
        <v>710</v>
      </c>
      <c r="B190" s="1" t="s">
        <v>711</v>
      </c>
      <c r="C190" s="4">
        <v>3.8420000000000001E-4</v>
      </c>
      <c r="D190" s="3">
        <v>0</v>
      </c>
      <c r="E190" s="7">
        <v>1570000</v>
      </c>
      <c r="F190" s="7" t="s">
        <v>750</v>
      </c>
      <c r="G190" s="6">
        <v>4070000000.0000005</v>
      </c>
      <c r="H19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90" s="15">
        <f>IF(H190="Yes",COUNTIFS($H$2:$H$201,"Yes",$F$2:$F$201,"&gt;"&amp;F190)+COUNTIFS($H$2:H190,"Yes",$F$2:F190,F190),"")</f>
        <v>2</v>
      </c>
      <c r="J190" s="7" t="str">
        <f t="shared" si="8"/>
        <v/>
      </c>
      <c r="K190" s="4" t="str">
        <f t="shared" si="7"/>
        <v>$0-$50</v>
      </c>
    </row>
    <row r="191" spans="1:11" hidden="1">
      <c r="A191" s="1" t="s">
        <v>713</v>
      </c>
      <c r="B191" s="1" t="s">
        <v>714</v>
      </c>
      <c r="C191" s="4">
        <v>1.565E-3</v>
      </c>
      <c r="D191" s="3">
        <v>2E-3</v>
      </c>
      <c r="E191" s="7">
        <v>1570000</v>
      </c>
      <c r="F191" s="7">
        <v>606685</v>
      </c>
      <c r="G191" s="6">
        <v>1000000000</v>
      </c>
      <c r="H19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91" s="15" t="str">
        <f>IF(H191="Yes",COUNTIFS($H$2:$H$201,"Yes",$F$2:$F$201,"&gt;"&amp;F191)+COUNTIFS($H$2:H191,"Yes",$F$2:F191,F191),"")</f>
        <v/>
      </c>
      <c r="J191" s="7" t="str">
        <f t="shared" si="8"/>
        <v/>
      </c>
      <c r="K191" s="4" t="str">
        <f>IFERROR(VALUE(SUBSTITUTE(SUBSTITUTE(#REF!,"$",""),",","")),"")</f>
        <v/>
      </c>
    </row>
    <row r="192" spans="1:11" hidden="1">
      <c r="A192" s="1" t="s">
        <v>715</v>
      </c>
      <c r="B192" s="1" t="s">
        <v>715</v>
      </c>
      <c r="C192" s="4">
        <v>4.2460000000000002E-4</v>
      </c>
      <c r="D192" s="3">
        <v>1.6000000000000001E-3</v>
      </c>
      <c r="E192" s="7">
        <v>1240000</v>
      </c>
      <c r="F192" s="7">
        <v>86086</v>
      </c>
      <c r="G192" s="6">
        <v>2910000000</v>
      </c>
      <c r="H192"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92" s="15" t="str">
        <f>IF(H192="Yes",COUNTIFS($H$2:$H$201,"Yes",$F$2:$F$201,"&gt;"&amp;F192)+COUNTIFS($H$2:H192,"Yes",$F$2:F192,F192),"")</f>
        <v/>
      </c>
      <c r="J192" s="7" t="str">
        <f t="shared" si="8"/>
        <v/>
      </c>
      <c r="K192" s="4" t="str">
        <f>IFERROR(VALUE(SUBSTITUTE(SUBSTITUTE(#REF!,"$",""),",","")),"")</f>
        <v/>
      </c>
    </row>
    <row r="193" spans="1:11" hidden="1">
      <c r="A193" s="1" t="s">
        <v>718</v>
      </c>
      <c r="B193" s="1" t="s">
        <v>719</v>
      </c>
      <c r="C193" s="4">
        <v>4.0850000000000001E-3</v>
      </c>
      <c r="D193" s="3">
        <v>2E-3</v>
      </c>
      <c r="E193" s="7">
        <v>1240000</v>
      </c>
      <c r="F193" s="7">
        <v>11736</v>
      </c>
      <c r="G193" s="6">
        <v>303130000</v>
      </c>
      <c r="H193"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93" s="15">
        <f>IF(H193="Yes",COUNTIFS($H$2:$H$201,"Yes",$F$2:$F$201,"&gt;"&amp;F193)+COUNTIFS($H$2:H193,"Yes",$F$2:F193,F193),"")</f>
        <v>76</v>
      </c>
      <c r="J193" s="7" t="str">
        <f t="shared" si="8"/>
        <v/>
      </c>
      <c r="K193" s="4" t="str">
        <f>IFERROR(VALUE(SUBSTITUTE(SUBSTITUTE(#REF!,"$",""),",","")),"")</f>
        <v/>
      </c>
    </row>
    <row r="194" spans="1:11" hidden="1">
      <c r="A194" s="1" t="s">
        <v>721</v>
      </c>
      <c r="B194" s="1" t="s">
        <v>722</v>
      </c>
      <c r="C194" s="4">
        <v>4.9459999999999999E-4</v>
      </c>
      <c r="D194" s="3">
        <v>4.3E-3</v>
      </c>
      <c r="E194" s="7">
        <v>1240000</v>
      </c>
      <c r="F194" s="7">
        <v>150756</v>
      </c>
      <c r="G194" s="6">
        <v>2500000000</v>
      </c>
      <c r="H194"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94" s="15" t="str">
        <f>IF(H194="Yes",COUNTIFS($H$2:$H$201,"Yes",$F$2:$F$201,"&gt;"&amp;F194)+COUNTIFS($H$2:H194,"Yes",$F$2:F194,F194),"")</f>
        <v/>
      </c>
      <c r="J194" s="7" t="str">
        <f t="shared" ref="J194:J201" si="9">IF(AND(H194="Yes",F194&lt;&gt;"",ISNUMBER(F194),I194&gt;=1,I194&lt;=10),"Top 10","")</f>
        <v/>
      </c>
      <c r="K194" s="4" t="str">
        <f>IFERROR(VALUE(SUBSTITUTE(SUBSTITUTE(#REF!,"$",""),",","")),"")</f>
        <v/>
      </c>
    </row>
    <row r="195" spans="1:11" hidden="1">
      <c r="A195" s="1" t="s">
        <v>724</v>
      </c>
      <c r="B195" s="1" t="s">
        <v>725</v>
      </c>
      <c r="C195" s="4">
        <v>6.265E-4</v>
      </c>
      <c r="D195" s="3">
        <v>1.9E-3</v>
      </c>
      <c r="E195" s="7">
        <v>1240000</v>
      </c>
      <c r="F195" s="7">
        <v>1332029</v>
      </c>
      <c r="G195" s="6">
        <v>1970000000</v>
      </c>
      <c r="H195"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95" s="15">
        <f>IF(H195="Yes",COUNTIFS($H$2:$H$201,"Yes",$F$2:$F$201,"&gt;"&amp;F195)+COUNTIFS($H$2:H195,"Yes",$F$2:F195,F195),"")</f>
        <v>36</v>
      </c>
      <c r="J195" s="7" t="str">
        <f t="shared" si="9"/>
        <v/>
      </c>
      <c r="K195" s="4" t="str">
        <f>IFERROR(VALUE(SUBSTITUTE(SUBSTITUTE(#REF!,"$",""),",","")),"")</f>
        <v/>
      </c>
    </row>
    <row r="196" spans="1:11" hidden="1">
      <c r="A196" s="1" t="s">
        <v>727</v>
      </c>
      <c r="B196" s="1" t="s">
        <v>728</v>
      </c>
      <c r="C196" s="4">
        <v>4.4560000000000002E-2</v>
      </c>
      <c r="D196" s="3">
        <v>1.26E-2</v>
      </c>
      <c r="E196" s="7">
        <v>1240000</v>
      </c>
      <c r="F196" s="7">
        <v>18</v>
      </c>
      <c r="G196" s="6">
        <v>27730000</v>
      </c>
      <c r="H196"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96" s="15" t="str">
        <f>IF(H196="Yes",COUNTIFS($H$2:$H$201,"Yes",$F$2:$F$201,"&gt;"&amp;F196)+COUNTIFS($H$2:H196,"Yes",$F$2:F196,F196),"")</f>
        <v/>
      </c>
      <c r="J196" s="7" t="str">
        <f t="shared" si="9"/>
        <v/>
      </c>
      <c r="K196" s="4" t="str">
        <f>IFERROR(VALUE(SUBSTITUTE(SUBSTITUTE(#REF!,"$",""),",","")),"")</f>
        <v/>
      </c>
    </row>
    <row r="197" spans="1:11" hidden="1">
      <c r="A197" s="1" t="s">
        <v>730</v>
      </c>
      <c r="B197" s="1" t="s">
        <v>731</v>
      </c>
      <c r="C197" s="4">
        <v>1.286E-3</v>
      </c>
      <c r="D197" s="3">
        <v>0</v>
      </c>
      <c r="E197" s="7">
        <v>1240000</v>
      </c>
      <c r="F197" s="7">
        <v>395470</v>
      </c>
      <c r="G197" s="6">
        <v>960550000</v>
      </c>
      <c r="H197"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Yes</v>
      </c>
      <c r="I197" s="15">
        <f>IF(H197="Yes",COUNTIFS($H$2:$H$201,"Yes",$F$2:$F$201,"&gt;"&amp;F197)+COUNTIFS($H$2:H197,"Yes",$F$2:F197,F197),"")</f>
        <v>49</v>
      </c>
      <c r="J197" s="7" t="str">
        <f t="shared" si="9"/>
        <v/>
      </c>
      <c r="K197" s="4" t="str">
        <f>IFERROR(VALUE(SUBSTITUTE(SUBSTITUTE(#REF!,"$",""),",","")),"")</f>
        <v/>
      </c>
    </row>
    <row r="198" spans="1:11" hidden="1">
      <c r="A198" s="1" t="s">
        <v>733</v>
      </c>
      <c r="B198" s="1" t="s">
        <v>734</v>
      </c>
      <c r="C198" s="4">
        <v>1.3799999999999999E-4</v>
      </c>
      <c r="D198" s="3">
        <v>0.1177</v>
      </c>
      <c r="E198" s="7">
        <v>1230000</v>
      </c>
      <c r="F198" s="7">
        <v>1609979</v>
      </c>
      <c r="G198" s="6">
        <v>8880000000</v>
      </c>
      <c r="H198"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98" s="15" t="str">
        <f>IF(H198="Yes",COUNTIFS($H$2:$H$201,"Yes",$F$2:$F$201,"&gt;"&amp;F198)+COUNTIFS($H$2:H198,"Yes",$F$2:F198,F198),"")</f>
        <v/>
      </c>
      <c r="J198" s="7" t="str">
        <f t="shared" si="9"/>
        <v/>
      </c>
      <c r="K198" s="4" t="str">
        <f>IFERROR(VALUE(SUBSTITUTE(SUBSTITUTE(#REF!,"$",""),",","")),"")</f>
        <v/>
      </c>
    </row>
    <row r="199" spans="1:11" hidden="1">
      <c r="A199" s="1" t="s">
        <v>736</v>
      </c>
      <c r="B199" s="1" t="s">
        <v>737</v>
      </c>
      <c r="C199" s="4">
        <v>6.2379999999999996E-3</v>
      </c>
      <c r="D199" s="3">
        <v>2.9399999999999999E-2</v>
      </c>
      <c r="E199" s="7">
        <v>1210000</v>
      </c>
      <c r="F199" s="7">
        <v>32118</v>
      </c>
      <c r="G199" s="6">
        <v>194090000</v>
      </c>
      <c r="H199"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199" s="15" t="str">
        <f>IF(H199="Yes",COUNTIFS($H$2:$H$201,"Yes",$F$2:$F$201,"&gt;"&amp;F199)+COUNTIFS($H$2:H199,"Yes",$F$2:F199,F199),"")</f>
        <v/>
      </c>
      <c r="J199" s="7" t="str">
        <f t="shared" si="9"/>
        <v/>
      </c>
      <c r="K199" s="4" t="str">
        <f>IFERROR(VALUE(SUBSTITUTE(SUBSTITUTE(#REF!,"$",""),",","")),"")</f>
        <v/>
      </c>
    </row>
    <row r="200" spans="1:11" hidden="1">
      <c r="A200" s="1" t="s">
        <v>740</v>
      </c>
      <c r="B200" s="1" t="s">
        <v>740</v>
      </c>
      <c r="C200" s="4">
        <v>1.2199999999999999E-3</v>
      </c>
      <c r="D200" s="3">
        <v>7.9000000000000008E-3</v>
      </c>
      <c r="E200" s="7">
        <v>1220000</v>
      </c>
      <c r="F200" s="7">
        <v>2223596</v>
      </c>
      <c r="G200" s="6">
        <v>1000000000</v>
      </c>
      <c r="H200"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00" s="15" t="str">
        <f>IF(H200="Yes",COUNTIFS($H$2:$H$201,"Yes",$F$2:$F$201,"&gt;"&amp;F200)+COUNTIFS($H$2:H200,"Yes",$F$2:F200,F200),"")</f>
        <v/>
      </c>
      <c r="J200" s="7" t="str">
        <f t="shared" si="9"/>
        <v/>
      </c>
      <c r="K200" s="4" t="str">
        <f>IFERROR(VALUE(SUBSTITUTE(SUBSTITUTE(#REF!,"$",""),",","")),"")</f>
        <v/>
      </c>
    </row>
    <row r="201" spans="1:11" hidden="1">
      <c r="A201" s="1" t="s">
        <v>742</v>
      </c>
      <c r="B201" s="1" t="s">
        <v>743</v>
      </c>
      <c r="C201" s="4">
        <v>1.532E-2</v>
      </c>
      <c r="D201" s="3">
        <v>2.06E-2</v>
      </c>
      <c r="E201" s="7">
        <v>1220000</v>
      </c>
      <c r="F201" s="7">
        <v>1855</v>
      </c>
      <c r="G201" s="6">
        <v>79500000</v>
      </c>
      <c r="H201" s="4" t="str">
        <f>IF(OR(LEFT(UPPER(TRIM(CryptoData[[#This Row],[Coin Name]])),1)="A",LEFT(UPPER(TRIM(CryptoData[[#This Row],[Coin Name]])),1)="E",LEFT(UPPER(TRIM(CryptoData[[#This Row],[Coin Name]])),1)="I",LEFT(UPPER(TRIM(CryptoData[[#This Row],[Coin Name]])),1)="O",LEFT(UPPER(TRIM(CryptoData[[#This Row],[Coin Name]])),1)="U",LEFT(UPPER(TRIM(CryptoData[[#This Row],[Coin Name]])),1)="B",LEFT(UPPER(TRIM(CryptoData[[#This Row],[Coin Name]])),1)="C",LEFT(UPPER(TRIM(CryptoData[[#This Row],[Coin Name]])),1)="D"),"Yes","No")</f>
        <v>No</v>
      </c>
      <c r="I201" s="15" t="str">
        <f>IF(H201="Yes",COUNTIFS($H$2:$H$201,"Yes",$F$2:$F$201,"&gt;"&amp;F201)+COUNTIFS($H$2:H201,"Yes",$F$2:F201,F201),"")</f>
        <v/>
      </c>
      <c r="J201" s="7" t="str">
        <f t="shared" si="9"/>
        <v/>
      </c>
      <c r="K201" s="4" t="str">
        <f>IFERROR(VALUE(SUBSTITUTE(SUBSTITUTE(#REF!,"$",""),",","")),"")</f>
        <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9A91-D665-4D75-A1B5-724E13515AF0}">
  <sheetPr codeName="Sheet3"/>
  <dimension ref="A1:F7"/>
  <sheetViews>
    <sheetView workbookViewId="0">
      <selection sqref="A1:F7"/>
    </sheetView>
  </sheetViews>
  <sheetFormatPr defaultRowHeight="14.5"/>
  <cols>
    <col min="1" max="1" width="15.36328125" bestFit="1" customWidth="1"/>
    <col min="2" max="2" width="16.453125" bestFit="1" customWidth="1"/>
    <col min="3" max="3" width="15.453125" bestFit="1" customWidth="1"/>
    <col min="5" max="5" width="24.36328125" bestFit="1" customWidth="1"/>
    <col min="6" max="6" width="16.453125" bestFit="1" customWidth="1"/>
  </cols>
  <sheetData>
    <row r="1" spans="1:6">
      <c r="A1" t="s">
        <v>754</v>
      </c>
      <c r="B1" t="s">
        <v>755</v>
      </c>
      <c r="C1" t="s">
        <v>756</v>
      </c>
      <c r="E1" s="21" t="s">
        <v>759</v>
      </c>
      <c r="F1" s="20"/>
    </row>
    <row r="2" spans="1:6">
      <c r="A2" t="s">
        <v>0</v>
      </c>
      <c r="B2" t="s">
        <v>7</v>
      </c>
      <c r="C2" t="s">
        <v>11</v>
      </c>
      <c r="E2" s="21" t="s">
        <v>760</v>
      </c>
      <c r="F2" s="22">
        <f>ABS(B5-C5)</f>
        <v>28228130932</v>
      </c>
    </row>
    <row r="3" spans="1:6">
      <c r="A3" t="s">
        <v>1</v>
      </c>
      <c r="B3" t="str">
        <f>_xlfn.XLOOKUP($B$2,'Cleaned Data'!$A:$A,'Cleaned Data'!$B:$B,"Not Found")</f>
        <v>BTC</v>
      </c>
      <c r="C3" t="str">
        <f>_xlfn.XLOOKUP($C$2,'Cleaned Data'!$A:$A,'Cleaned Data'!$B:$B,"Not Found")</f>
        <v>ETH</v>
      </c>
      <c r="E3" s="21" t="s">
        <v>761</v>
      </c>
      <c r="F3" s="22">
        <f>ABS(B6-C6)</f>
        <v>1770489999999.9998</v>
      </c>
    </row>
    <row r="4" spans="1:6">
      <c r="A4" s="19" t="s">
        <v>757</v>
      </c>
      <c r="B4">
        <f>_xlfn.XLOOKUP($B$2,'Cleaned Data'!$A:$A,'Cleaned Data'!$C:$C,"Not Found")</f>
        <v>104058.04</v>
      </c>
      <c r="C4">
        <f>_xlfn.XLOOKUP($C$2,'Cleaned Data'!$A:$A,'Cleaned Data'!$C:$C,"Not Found")</f>
        <v>2483.59</v>
      </c>
      <c r="E4" s="21" t="s">
        <v>762</v>
      </c>
      <c r="F4" s="22">
        <f>ABS(B7-C7)</f>
        <v>100840000</v>
      </c>
    </row>
    <row r="5" spans="1:6">
      <c r="A5" s="19" t="s">
        <v>758</v>
      </c>
      <c r="B5">
        <f>_xlfn.XLOOKUP($B$2,'Cleaned Data'!$A:$A,'Cleaned Data'!$F:$F,"Not Found")</f>
        <v>43170391288</v>
      </c>
      <c r="C5">
        <f>_xlfn.XLOOKUP($C$2,'Cleaned Data'!$A:$A,'Cleaned Data'!$F:$F,"Not Found")</f>
        <v>14942260356</v>
      </c>
    </row>
    <row r="6" spans="1:6">
      <c r="A6" t="s">
        <v>4</v>
      </c>
      <c r="B6" s="15">
        <f>_xlfn.XLOOKUP($B$2,'Cleaned Data'!$A:$A,'Cleaned Data'!$E:$E,"Not Found")</f>
        <v>2069999999999.9998</v>
      </c>
      <c r="C6" s="15">
        <f>_xlfn.XLOOKUP($C$2,'Cleaned Data'!$A:$A,'Cleaned Data'!$E:$E,"Not Found")</f>
        <v>299510000000</v>
      </c>
    </row>
    <row r="7" spans="1:6">
      <c r="A7" t="s">
        <v>6</v>
      </c>
      <c r="B7">
        <f>_xlfn.XLOOKUP($B$2,'Cleaned Data'!$A:$A,'Cleaned Data'!$G:$G,"Not Found")</f>
        <v>19880000</v>
      </c>
      <c r="C7">
        <f>_xlfn.XLOOKUP($C$2,'Cleaned Data'!$A:$A,'Cleaned Data'!$G:$G,"Not Found")</f>
        <v>120720000</v>
      </c>
    </row>
  </sheetData>
  <dataValidations count="1">
    <dataValidation type="custom" allowBlank="1" showInputMessage="1" showErrorMessage="1" errorTitle="Invalid Coin Name" error="Enter 3-10 characters and do not use numbers." sqref="B2 C2" xr:uid="{0894B716-CEE5-4AE5-AEAD-C70556370376}">
      <formula1>AND(LEN(B2)&gt;=3,LEN(B2)&lt;=10,ISERROR(SEARCH("[0-9]",B2)))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4ABC9-387D-4BC4-B720-33EC7FFAF634}">
  <sheetPr codeName="Sheet4"/>
  <dimension ref="A1:J15"/>
  <sheetViews>
    <sheetView zoomScale="54" workbookViewId="0">
      <selection activeCell="F43" sqref="F43"/>
    </sheetView>
  </sheetViews>
  <sheetFormatPr defaultRowHeight="14.5"/>
  <cols>
    <col min="1" max="1" width="13.453125" bestFit="1" customWidth="1"/>
    <col min="2" max="2" width="12.1796875" bestFit="1" customWidth="1"/>
    <col min="3" max="3" width="12.81640625" customWidth="1"/>
    <col min="4" max="4" width="14.81640625" customWidth="1"/>
    <col min="7" max="7" width="9.1796875" customWidth="1"/>
    <col min="8" max="8" width="14.81640625" bestFit="1" customWidth="1"/>
    <col min="9" max="9" width="13.453125" bestFit="1" customWidth="1"/>
    <col min="10" max="10" width="14.453125" bestFit="1" customWidth="1"/>
  </cols>
  <sheetData>
    <row r="1" spans="1:10">
      <c r="A1" s="23" t="s">
        <v>0</v>
      </c>
      <c r="B1" s="23" t="s">
        <v>757</v>
      </c>
      <c r="C1" t="s">
        <v>764</v>
      </c>
      <c r="D1" t="s">
        <v>763</v>
      </c>
      <c r="F1" t="s">
        <v>765</v>
      </c>
      <c r="G1" t="s">
        <v>766</v>
      </c>
      <c r="I1" t="s">
        <v>772</v>
      </c>
      <c r="J1" t="s">
        <v>773</v>
      </c>
    </row>
    <row r="2" spans="1:10">
      <c r="A2" t="s">
        <v>7</v>
      </c>
      <c r="B2" s="24">
        <f>_xlfn.XLOOKUP(A2,CryptoData[Coin Name],CryptoData[Price_Clean],"Not Found")</f>
        <v>104058.04</v>
      </c>
      <c r="C2">
        <f>_xlfn.XLOOKUP(A2,CryptoData[Coin Name],CryptoData[Volume (24) USD_cleaned],"")</f>
        <v>43170391288</v>
      </c>
      <c r="D2" t="str">
        <f>IF(B2&lt;=50,"$0-$50","Above $50")</f>
        <v>Above $50</v>
      </c>
      <c r="F2" s="25" t="str">
        <f>INDEX($A$2:$A$13,MATCH(LARGE($C$2:$C$13,ROWS($F$2:F2)),$C$2:$C$13,0))</f>
        <v>Bitcoin</v>
      </c>
      <c r="G2">
        <f t="shared" ref="G2:G6" si="0">INDEX($C$2:$C$13,MATCH(F2,$A$2:$A$13,0))</f>
        <v>43170391288</v>
      </c>
      <c r="I2" t="str">
        <f ca="1">IF(J2="","",INDEX($A$2:$A$13,MATCH(J2,$C$2:$C$13,0)))</f>
        <v>Bitcoin</v>
      </c>
      <c r="J2" cm="1">
        <f t="array" aca="1" ref="J2" ca="1">IFERROR(_xlfn.AGGREGATE(14,6,$C$2:$C$13/(SUBTOTAL(103,OFFSET($A$2,ROW($A$2:$A$13)-ROW($A$2),0,1))),ROWS($J$2:J2)),"")</f>
        <v>43170391288</v>
      </c>
    </row>
    <row r="3" spans="1:10">
      <c r="A3" s="1" t="s">
        <v>11</v>
      </c>
      <c r="B3" s="24">
        <f>_xlfn.XLOOKUP(A3,CryptoData[Coin Name],CryptoData[Price_Clean],"Not Found")</f>
        <v>2483.59</v>
      </c>
      <c r="C3" s="1">
        <f>_xlfn.XLOOKUP(A3,CryptoData[Coin Name],CryptoData[Volume (24) USD_cleaned],"")</f>
        <v>14942260356</v>
      </c>
      <c r="D3" s="1" t="str">
        <f t="shared" ref="D3:D13" si="1">IF(B3&lt;=50,"$0-$50","Above $50")</f>
        <v>Above $50</v>
      </c>
      <c r="F3" t="str">
        <f>INDEX($A$2:$A$13,MATCH(LARGE($C$2:$C$13,ROWS($F$2:F3)),$C$2:$C$13,0))</f>
        <v>Ethereum</v>
      </c>
      <c r="G3">
        <f t="shared" si="0"/>
        <v>14942260356</v>
      </c>
      <c r="I3" s="1" t="str">
        <f t="shared" ref="I3:I4" ca="1" si="2">IF(J3="","",INDEX($A$2:$A$13,MATCH(J3,$C$2:$C$13,0)))</f>
        <v>Ethereum</v>
      </c>
      <c r="J3" s="1" cm="1">
        <f t="array" aca="1" ref="J3" ca="1">IFERROR(_xlfn.AGGREGATE(14,6,$C$2:$C$13/(SUBTOTAL(103,OFFSET($A$2,ROW($A$2:$A$13)-ROW($A$2),0,1))),ROWS($J$2:J3)),"")</f>
        <v>14942260356</v>
      </c>
    </row>
    <row r="4" spans="1:10">
      <c r="A4" s="1" t="s">
        <v>22</v>
      </c>
      <c r="B4" s="24">
        <f>_xlfn.XLOOKUP(A4,CryptoData[Coin Name],CryptoData[Price_Clean],"Not Found")</f>
        <v>644.79</v>
      </c>
      <c r="C4" s="1">
        <f>_xlfn.XLOOKUP(A4,CryptoData[Coin Name],CryptoData[Volume (24) USD_cleaned],"")</f>
        <v>1497928447</v>
      </c>
      <c r="D4" s="1" t="str">
        <f t="shared" si="1"/>
        <v>Above $50</v>
      </c>
      <c r="F4" t="str">
        <f>INDEX($A$2:$A$13,MATCH(LARGE($C$2:$C$13,ROWS($F$2:F4)),$C$2:$C$13,0))</f>
        <v>USDC</v>
      </c>
      <c r="G4">
        <f t="shared" si="0"/>
        <v>8208315257</v>
      </c>
      <c r="I4" s="1" t="str">
        <f t="shared" ca="1" si="2"/>
        <v>BNB</v>
      </c>
      <c r="J4" s="1" cm="1">
        <f t="array" aca="1" ref="J4" ca="1">IFERROR(_xlfn.AGGREGATE(14,6,$C$2:$C$13/(SUBTOTAL(103,OFFSET($A$2,ROW($A$2:$A$13)-ROW($A$2),0,1))),ROWS($J$2:J4)),"")</f>
        <v>1497928447</v>
      </c>
    </row>
    <row r="5" spans="1:10" hidden="1">
      <c r="A5" s="1" t="s">
        <v>29</v>
      </c>
      <c r="B5" s="24">
        <f>_xlfn.XLOOKUP(A5,CryptoData[Coin Name],CryptoData[Price_Clean],"Not Found")</f>
        <v>0.99980000000000002</v>
      </c>
      <c r="C5" s="1">
        <f>_xlfn.XLOOKUP(A5,CryptoData[Coin Name],CryptoData[Volume (24) USD_cleaned],"")</f>
        <v>8208315257</v>
      </c>
      <c r="D5" s="1" t="str">
        <f t="shared" si="1"/>
        <v>$0-$50</v>
      </c>
      <c r="F5" t="str">
        <f>INDEX($A$2:$A$13,MATCH(LARGE($C$2:$C$13,ROWS($F$2:F5)),$C$2:$C$13,0))</f>
        <v>BNB</v>
      </c>
      <c r="G5">
        <f t="shared" si="0"/>
        <v>1497928447</v>
      </c>
      <c r="I5" s="1" t="s">
        <v>29</v>
      </c>
      <c r="J5" s="1">
        <v>8208315257</v>
      </c>
    </row>
    <row r="6" spans="1:10" hidden="1">
      <c r="A6" s="1" t="s">
        <v>36</v>
      </c>
      <c r="B6" s="24">
        <f>_xlfn.XLOOKUP(A6,CryptoData[Coin Name],CryptoData[Price_Clean],"Not Found")</f>
        <v>0.16539999999999999</v>
      </c>
      <c r="C6" s="1">
        <f>_xlfn.XLOOKUP(A6,CryptoData[Coin Name],CryptoData[Volume (24) USD_cleaned],"")</f>
        <v>781433558</v>
      </c>
      <c r="D6" s="1" t="str">
        <f t="shared" si="1"/>
        <v>$0-$50</v>
      </c>
      <c r="F6" t="str">
        <f>INDEX($A$2:$A$13,MATCH(LARGE($C$2:$C$13,ROWS($F$2:F6)),$C$2:$C$13,0))</f>
        <v>Dogecoin</v>
      </c>
      <c r="G6">
        <f t="shared" si="0"/>
        <v>781433558</v>
      </c>
      <c r="I6" s="1" t="s">
        <v>36</v>
      </c>
      <c r="J6" s="1">
        <v>781433558</v>
      </c>
    </row>
    <row r="7" spans="1:10" hidden="1">
      <c r="A7" s="1" t="s">
        <v>40</v>
      </c>
      <c r="B7" s="24">
        <f>_xlfn.XLOOKUP(A7,CryptoData[Coin Name],CryptoData[Price_Clean],"Not Found")</f>
        <v>0.58079999999999998</v>
      </c>
      <c r="C7" s="1">
        <f>_xlfn.XLOOKUP(A7,CryptoData[Coin Name],CryptoData[Volume (24) USD_cleaned],"")</f>
        <v>539447597</v>
      </c>
      <c r="D7" s="1" t="str">
        <f t="shared" si="1"/>
        <v>$0-$50</v>
      </c>
      <c r="F7" s="25" t="s">
        <v>767</v>
      </c>
      <c r="G7" s="25">
        <f>SUM($G$2:$G$6)</f>
        <v>68600328906</v>
      </c>
      <c r="I7" s="1" t="s">
        <v>40</v>
      </c>
      <c r="J7" s="1">
        <v>539447597</v>
      </c>
    </row>
    <row r="8" spans="1:10" hidden="1">
      <c r="A8" s="1" t="s">
        <v>76</v>
      </c>
      <c r="B8" s="24">
        <f>_xlfn.XLOOKUP(A8,CryptoData[Coin Name],CryptoData[Price_Clean],"Not Found")</f>
        <v>0.2505</v>
      </c>
      <c r="C8" s="1">
        <f>_xlfn.XLOOKUP(A8,CryptoData[Coin Name],CryptoData[Volume (24) USD_cleaned],"")</f>
        <v>25685731</v>
      </c>
      <c r="D8" s="1" t="str">
        <f t="shared" si="1"/>
        <v>$0-$50</v>
      </c>
      <c r="F8" t="s">
        <v>768</v>
      </c>
      <c r="G8">
        <f>SUM($C$2:$C$13)-G7</f>
        <v>654432414</v>
      </c>
      <c r="I8" s="1" t="s">
        <v>307</v>
      </c>
      <c r="J8" s="1">
        <v>40860347</v>
      </c>
    </row>
    <row r="9" spans="1:10" hidden="1">
      <c r="A9" s="1" t="s">
        <v>163</v>
      </c>
      <c r="B9" s="24">
        <f>_xlfn.XLOOKUP(A9,CryptoData[Coin Name],CryptoData[Price_Clean],"Not Found")</f>
        <v>7.1980000000000002E-2</v>
      </c>
      <c r="C9" s="1">
        <f>_xlfn.XLOOKUP(A9,CryptoData[Coin Name],CryptoData[Volume (24) USD_cleaned],"")</f>
        <v>25758134</v>
      </c>
      <c r="D9" s="1" t="str">
        <f t="shared" si="1"/>
        <v>$0-$50</v>
      </c>
      <c r="I9" s="1" t="s">
        <v>163</v>
      </c>
      <c r="J9" s="1">
        <v>25758134</v>
      </c>
    </row>
    <row r="10" spans="1:10" hidden="1">
      <c r="A10" s="1" t="s">
        <v>223</v>
      </c>
      <c r="B10" s="24">
        <f>_xlfn.XLOOKUP(A10,CryptoData[Coin Name],CryptoData[Price_Clean],"Not Found")</f>
        <v>1.1499999999999999</v>
      </c>
      <c r="C10" s="1">
        <f>_xlfn.XLOOKUP(A10,CryptoData[Coin Name],CryptoData[Volume (24) USD_cleaned],"")</f>
        <v>22680605</v>
      </c>
      <c r="D10" s="1" t="str">
        <f t="shared" si="1"/>
        <v>$0-$50</v>
      </c>
      <c r="I10" s="1" t="s">
        <v>768</v>
      </c>
      <c r="J10" s="1">
        <v>0</v>
      </c>
    </row>
    <row r="11" spans="1:10" hidden="1">
      <c r="A11" s="1" t="s">
        <v>307</v>
      </c>
      <c r="B11" s="24">
        <f>_xlfn.XLOOKUP(A11,CryptoData[Coin Name],CryptoData[Price_Clean],"Not Found")</f>
        <v>8.3759999999999998E-3</v>
      </c>
      <c r="C11" s="1">
        <f>_xlfn.XLOOKUP(A11,CryptoData[Coin Name],CryptoData[Volume (24) USD_cleaned],"")</f>
        <v>40860347</v>
      </c>
      <c r="D11" s="1" t="str">
        <f t="shared" si="1"/>
        <v>$0-$50</v>
      </c>
      <c r="I11" s="1"/>
      <c r="J11" s="1"/>
    </row>
    <row r="12" spans="1:10" hidden="1">
      <c r="A12" s="1" t="s">
        <v>442</v>
      </c>
      <c r="B12" s="24">
        <f>_xlfn.XLOOKUP(A12,CryptoData[Coin Name],CryptoData[Price_Clean],"Not Found")</f>
        <v>0.1065</v>
      </c>
      <c r="C12" s="1" t="str">
        <f>_xlfn.XLOOKUP(A12,CryptoData[Coin Name],CryptoData[Volume (24) USD_cleaned],"")</f>
        <v/>
      </c>
      <c r="D12" s="1" t="str">
        <f t="shared" si="1"/>
        <v>$0-$50</v>
      </c>
      <c r="I12" s="1"/>
      <c r="J12" s="1"/>
    </row>
    <row r="13" spans="1:10" hidden="1">
      <c r="A13" s="1" t="s">
        <v>710</v>
      </c>
      <c r="B13" s="24">
        <f>_xlfn.XLOOKUP(A13,CryptoData[Coin Name],CryptoData[Price_Clean],"Not Found")</f>
        <v>3.8420000000000001E-4</v>
      </c>
      <c r="C13" s="1" t="str">
        <f>_xlfn.XLOOKUP(A13,CryptoData[Coin Name],CryptoData[Volume (24) USD_cleaned],"")</f>
        <v/>
      </c>
      <c r="D13" s="1" t="str">
        <f t="shared" si="1"/>
        <v>$0-$50</v>
      </c>
      <c r="I13" s="1"/>
      <c r="J13" s="1"/>
    </row>
    <row r="14" spans="1:10">
      <c r="I14" s="1"/>
      <c r="J14" s="1"/>
    </row>
    <row r="15" spans="1:10">
      <c r="I15" s="1"/>
      <c r="J15" s="1"/>
    </row>
  </sheetData>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16923-A084-414E-8DD7-540853A742E3}">
  <sheetPr codeName="Sheet5"/>
  <dimension ref="A1:B7"/>
  <sheetViews>
    <sheetView zoomScale="75" workbookViewId="0">
      <selection activeCell="H5" sqref="H5"/>
    </sheetView>
  </sheetViews>
  <sheetFormatPr defaultRowHeight="14.5"/>
  <cols>
    <col min="1" max="1" width="13.90625" bestFit="1" customWidth="1"/>
    <col min="2" max="2" width="16.1796875" bestFit="1" customWidth="1"/>
  </cols>
  <sheetData>
    <row r="1" spans="1:2">
      <c r="A1" s="26" t="s">
        <v>763</v>
      </c>
      <c r="B1" s="1" t="s">
        <v>771</v>
      </c>
    </row>
    <row r="3" spans="1:2">
      <c r="A3" s="26" t="s">
        <v>769</v>
      </c>
      <c r="B3" t="s">
        <v>800</v>
      </c>
    </row>
    <row r="4" spans="1:2">
      <c r="A4" s="27" t="s">
        <v>7</v>
      </c>
      <c r="B4" s="25">
        <v>43170391288</v>
      </c>
    </row>
    <row r="5" spans="1:2">
      <c r="A5" s="27" t="s">
        <v>11</v>
      </c>
      <c r="B5" s="25">
        <v>14942260356</v>
      </c>
    </row>
    <row r="6" spans="1:2">
      <c r="A6" s="27" t="s">
        <v>22</v>
      </c>
      <c r="B6" s="25">
        <v>1497928447</v>
      </c>
    </row>
    <row r="7" spans="1:2">
      <c r="A7" s="27" t="s">
        <v>770</v>
      </c>
      <c r="B7" s="25">
        <v>59610580091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22BA3-B0F0-4925-9F93-1098C9037646}">
  <sheetPr codeName="Sheet6"/>
  <dimension ref="A1:N201"/>
  <sheetViews>
    <sheetView topLeftCell="L1" zoomScale="121" zoomScaleNormal="100" workbookViewId="0">
      <selection activeCell="U209" sqref="U209"/>
    </sheetView>
  </sheetViews>
  <sheetFormatPr defaultRowHeight="14.5"/>
  <cols>
    <col min="1" max="1" width="12" customWidth="1"/>
    <col min="2" max="2" width="9.08984375" customWidth="1"/>
    <col min="3" max="3" width="13.81640625" customWidth="1"/>
    <col min="4" max="4" width="13.54296875" customWidth="1"/>
    <col min="5" max="5" width="17.453125" customWidth="1"/>
    <col min="6" max="6" width="13.81640625" customWidth="1"/>
    <col min="7" max="7" width="23.453125" bestFit="1" customWidth="1"/>
    <col min="8" max="8" width="18.453125" customWidth="1"/>
    <col min="11" max="11" width="7.26953125" bestFit="1" customWidth="1"/>
    <col min="12" max="12" width="11.81640625" bestFit="1" customWidth="1"/>
    <col min="13" max="13" width="11.54296875" bestFit="1" customWidth="1"/>
    <col min="14" max="14" width="15.08984375" bestFit="1" customWidth="1"/>
  </cols>
  <sheetData>
    <row r="1" spans="1:14">
      <c r="A1" s="28" t="s">
        <v>0</v>
      </c>
      <c r="B1" t="s">
        <v>1</v>
      </c>
      <c r="C1" t="s">
        <v>774</v>
      </c>
      <c r="D1" t="s">
        <v>775</v>
      </c>
      <c r="E1" t="s">
        <v>776</v>
      </c>
      <c r="F1" t="s">
        <v>777</v>
      </c>
      <c r="G1" t="s">
        <v>778</v>
      </c>
      <c r="H1" t="s">
        <v>779</v>
      </c>
      <c r="I1" t="s">
        <v>753</v>
      </c>
      <c r="K1" t="s">
        <v>1</v>
      </c>
      <c r="L1" t="s">
        <v>777</v>
      </c>
      <c r="M1" t="s">
        <v>774</v>
      </c>
      <c r="N1" t="s">
        <v>780</v>
      </c>
    </row>
    <row r="2" spans="1:14">
      <c r="A2" t="str">
        <f>'Cleaned Data'!A2</f>
        <v>Bitcoin</v>
      </c>
      <c r="B2" t="str">
        <f>'Cleaned Data'!B2</f>
        <v>BTC</v>
      </c>
      <c r="C2" s="24">
        <f>'Cleaned Data'!C2</f>
        <v>104058.04</v>
      </c>
      <c r="D2" s="3">
        <f>'Cleaned Data'!D2</f>
        <v>2.3999999999999998E-3</v>
      </c>
      <c r="E2">
        <f>C2/(1+D2)</f>
        <v>103808.89864325618</v>
      </c>
      <c r="F2" s="24">
        <f>C2-E2</f>
        <v>249.14135674381396</v>
      </c>
      <c r="G2" t="str">
        <f>IF(C2&lt;=10,"Up to $10","Greater than or equal to $10")</f>
        <v>Greater than or equal to $10</v>
      </c>
      <c r="H2">
        <f>_xlfn.RANK.EQ(F2,$F$2:$F$201,0)</f>
        <v>1</v>
      </c>
      <c r="I2" t="str">
        <f>IF(H2&lt;=10,"Top 10","")</f>
        <v>Top 10</v>
      </c>
      <c r="K2" t="str">
        <f>IFERROR(INDEX($B$2:$B$201,MATCH(ROWS($K$2:K2),$H$2:$H$201,0)),"")</f>
        <v>BTC</v>
      </c>
      <c r="L2">
        <f>IF(K2="","",INDEX($F$2:$F$201,MATCH(K2,$B$2:$B$201,0)))</f>
        <v>249.14135674381396</v>
      </c>
      <c r="M2">
        <f>IF(K2="","",INDEX($C$2:$C$201,MATCH(K2,$B$2:$B$201,0)))</f>
        <v>104058.04</v>
      </c>
      <c r="N2">
        <f>IF(K2="","",INDEX($E$2:$E$201,MATCH(K2,$B$2:$B$201,0)))</f>
        <v>103808.89864325618</v>
      </c>
    </row>
    <row r="3" spans="1:14">
      <c r="A3" s="1" t="str">
        <f>'Cleaned Data'!A3</f>
        <v>Ethereum</v>
      </c>
      <c r="B3" s="1" t="str">
        <f>'Cleaned Data'!B3</f>
        <v>ETH</v>
      </c>
      <c r="C3" s="24">
        <f>'Cleaned Data'!C3</f>
        <v>2483.59</v>
      </c>
      <c r="D3" s="3">
        <f>'Cleaned Data'!D3</f>
        <v>7.6E-3</v>
      </c>
      <c r="E3" s="1">
        <f t="shared" ref="E3:E66" si="0">C3/(1+D3)</f>
        <v>2464.8570861452959</v>
      </c>
      <c r="F3" s="24">
        <f t="shared" ref="F3:F66" si="1">C3-E3</f>
        <v>18.732913854704293</v>
      </c>
      <c r="G3" s="1" t="str">
        <f t="shared" ref="G3:G66" si="2">IF(C3&lt;=10,"Up to $10","Greater than or equal to $10")</f>
        <v>Greater than or equal to $10</v>
      </c>
      <c r="H3" s="1">
        <f t="shared" ref="H3:H66" si="3">_xlfn.RANK.EQ(F3,$F$2:$F$201,0)</f>
        <v>2</v>
      </c>
      <c r="I3" s="1" t="str">
        <f t="shared" ref="I3:I66" si="4">IF(H3&lt;=10,"Top 10","")</f>
        <v>Top 10</v>
      </c>
      <c r="K3" s="1" t="str">
        <f>IFERROR(INDEX($B$2:$B$201,MATCH(ROWS($K$2:K3),$H$2:$H$201,0)),"")</f>
        <v>ETH</v>
      </c>
      <c r="L3" s="1">
        <f t="shared" ref="L3:L11" si="5">IF(K3="","",INDEX($F$2:$F$201,MATCH(K3,$B$2:$B$201,0)))</f>
        <v>18.732913854704293</v>
      </c>
      <c r="M3" s="1">
        <f t="shared" ref="M3:M11" si="6">IF(K3="","",INDEX($C$2:$C$201,MATCH(K3,$B$2:$B$201,0)))</f>
        <v>2483.59</v>
      </c>
      <c r="N3" s="1">
        <f t="shared" ref="N3:N11" si="7">IF(K3="","",INDEX($E$2:$E$201,MATCH(K3,$B$2:$B$201,0)))</f>
        <v>2464.8570861452959</v>
      </c>
    </row>
    <row r="4" spans="1:14" hidden="1">
      <c r="A4" s="1" t="str">
        <f>'Cleaned Data'!A4</f>
        <v>Tether</v>
      </c>
      <c r="B4" s="1" t="str">
        <f>'Cleaned Data'!B4</f>
        <v>USDT</v>
      </c>
      <c r="C4" s="24">
        <f>'Cleaned Data'!C4</f>
        <v>0.99990000000000001</v>
      </c>
      <c r="D4" s="3">
        <f>'Cleaned Data'!D4</f>
        <v>4.0000000000000002E-4</v>
      </c>
      <c r="E4" s="1">
        <f t="shared" si="0"/>
        <v>0.99950019992003203</v>
      </c>
      <c r="F4" s="24">
        <f t="shared" si="1"/>
        <v>3.9980007996798239E-4</v>
      </c>
      <c r="G4" s="1" t="str">
        <f t="shared" si="2"/>
        <v>Up to $10</v>
      </c>
      <c r="H4" s="1">
        <f t="shared" si="3"/>
        <v>77</v>
      </c>
      <c r="I4" s="1" t="str">
        <f t="shared" si="4"/>
        <v/>
      </c>
      <c r="K4" s="1" t="str">
        <f>IFERROR(INDEX($B$2:$B$201,MATCH(ROWS($K$2:K4),$H$2:$H$201,0)),"")</f>
        <v>DPI</v>
      </c>
      <c r="L4" s="1">
        <f t="shared" si="5"/>
        <v>2.4807333203656867</v>
      </c>
      <c r="M4" s="1">
        <f t="shared" si="6"/>
        <v>90.45</v>
      </c>
      <c r="N4" s="1">
        <f t="shared" si="7"/>
        <v>87.969266679634316</v>
      </c>
    </row>
    <row r="5" spans="1:14" hidden="1">
      <c r="A5" s="1" t="str">
        <f>'Cleaned Data'!A5</f>
        <v>XRP</v>
      </c>
      <c r="B5" s="1" t="str">
        <f>'Cleaned Data'!B5</f>
        <v>XRP</v>
      </c>
      <c r="C5" s="24">
        <f>'Cleaned Data'!C5</f>
        <v>2.12</v>
      </c>
      <c r="D5" s="3">
        <f>'Cleaned Data'!D5</f>
        <v>5.5000000000000005E-3</v>
      </c>
      <c r="E5" s="1">
        <f t="shared" si="0"/>
        <v>2.1084037792143211</v>
      </c>
      <c r="F5" s="24">
        <f t="shared" si="1"/>
        <v>1.1596220785679012E-2</v>
      </c>
      <c r="G5" s="1" t="str">
        <f t="shared" si="2"/>
        <v>Up to $10</v>
      </c>
      <c r="H5" s="1">
        <f t="shared" si="3"/>
        <v>12</v>
      </c>
      <c r="I5" s="1" t="str">
        <f t="shared" si="4"/>
        <v/>
      </c>
      <c r="K5" s="1" t="str">
        <f>IFERROR(INDEX($B$2:$B$201,MATCH(ROWS($K$2:K5),$H$2:$H$201,0)),"")</f>
        <v>SOL</v>
      </c>
      <c r="L5" s="1">
        <f t="shared" si="5"/>
        <v>1.3985869888107629</v>
      </c>
      <c r="M5" s="1">
        <f t="shared" si="6"/>
        <v>142.66999999999999</v>
      </c>
      <c r="N5" s="1">
        <f t="shared" si="7"/>
        <v>141.27141301118922</v>
      </c>
    </row>
    <row r="6" spans="1:14">
      <c r="A6" s="1" t="str">
        <f>'Cleaned Data'!A6</f>
        <v>BNB</v>
      </c>
      <c r="B6" s="1" t="str">
        <f>'Cleaned Data'!B6</f>
        <v>BNB</v>
      </c>
      <c r="C6" s="24">
        <f>'Cleaned Data'!C6</f>
        <v>644.79</v>
      </c>
      <c r="D6" s="3">
        <f>'Cleaned Data'!D6</f>
        <v>1E-3</v>
      </c>
      <c r="E6" s="1">
        <f t="shared" si="0"/>
        <v>644.14585414585417</v>
      </c>
      <c r="F6" s="24">
        <f t="shared" si="1"/>
        <v>0.64414585414579051</v>
      </c>
      <c r="G6" s="1" t="str">
        <f t="shared" si="2"/>
        <v>Greater than or equal to $10</v>
      </c>
      <c r="H6" s="1">
        <f t="shared" si="3"/>
        <v>5</v>
      </c>
      <c r="I6" s="1" t="str">
        <f t="shared" si="4"/>
        <v>Top 10</v>
      </c>
      <c r="K6" s="1" t="str">
        <f>IFERROR(INDEX($B$2:$B$201,MATCH(ROWS($K$2:K6),$H$2:$H$201,0)),"")</f>
        <v>BNB</v>
      </c>
      <c r="L6" s="1">
        <f t="shared" si="5"/>
        <v>0.64414585414579051</v>
      </c>
      <c r="M6" s="1">
        <f t="shared" si="6"/>
        <v>644.79</v>
      </c>
      <c r="N6" s="1">
        <f t="shared" si="7"/>
        <v>644.14585414585417</v>
      </c>
    </row>
    <row r="7" spans="1:14">
      <c r="A7" s="1" t="str">
        <f>'Cleaned Data'!A7</f>
        <v>Solana</v>
      </c>
      <c r="B7" s="1" t="str">
        <f>'Cleaned Data'!B7</f>
        <v>SOL</v>
      </c>
      <c r="C7" s="24">
        <f>'Cleaned Data'!C7</f>
        <v>142.66999999999999</v>
      </c>
      <c r="D7" s="3">
        <f>'Cleaned Data'!D7</f>
        <v>9.8999999999999991E-3</v>
      </c>
      <c r="E7" s="1">
        <f t="shared" si="0"/>
        <v>141.27141301118922</v>
      </c>
      <c r="F7" s="24">
        <f t="shared" si="1"/>
        <v>1.3985869888107629</v>
      </c>
      <c r="G7" s="1" t="str">
        <f t="shared" si="2"/>
        <v>Greater than or equal to $10</v>
      </c>
      <c r="H7" s="1">
        <f t="shared" si="3"/>
        <v>4</v>
      </c>
      <c r="I7" s="1" t="str">
        <f t="shared" si="4"/>
        <v>Top 10</v>
      </c>
      <c r="K7" s="1" t="str">
        <f>IFERROR(INDEX($B$2:$B$201,MATCH(ROWS($K$2:K7),$H$2:$H$201,0)),"")</f>
        <v>BIFI</v>
      </c>
      <c r="L7" s="1">
        <f t="shared" si="5"/>
        <v>0.23469648562300449</v>
      </c>
      <c r="M7" s="1">
        <f t="shared" si="6"/>
        <v>146.91999999999999</v>
      </c>
      <c r="N7" s="1">
        <f t="shared" si="7"/>
        <v>146.68530351437698</v>
      </c>
    </row>
    <row r="8" spans="1:14" hidden="1">
      <c r="A8" s="1" t="str">
        <f>'Cleaned Data'!A8</f>
        <v>USDC</v>
      </c>
      <c r="B8" s="1" t="str">
        <f>'Cleaned Data'!B8</f>
        <v>USDC</v>
      </c>
      <c r="C8" s="24">
        <f>'Cleaned Data'!C8</f>
        <v>0.99980000000000002</v>
      </c>
      <c r="D8" s="3">
        <f>'Cleaned Data'!D8</f>
        <v>2.9999999999999997E-4</v>
      </c>
      <c r="E8" s="1">
        <f t="shared" si="0"/>
        <v>0.99950014995501357</v>
      </c>
      <c r="F8" s="24">
        <f t="shared" si="1"/>
        <v>2.998500449864494E-4</v>
      </c>
      <c r="G8" s="1" t="str">
        <f t="shared" si="2"/>
        <v>Up to $10</v>
      </c>
      <c r="H8" s="1">
        <f t="shared" si="3"/>
        <v>88</v>
      </c>
      <c r="I8" s="1" t="str">
        <f t="shared" si="4"/>
        <v/>
      </c>
      <c r="K8" s="1" t="str">
        <f>IFERROR(INDEX($B$2:$B$201,MATCH(ROWS($K$2:K8),$H$2:$H$201,0)),"")</f>
        <v>CGO</v>
      </c>
      <c r="L8" s="1">
        <f t="shared" si="5"/>
        <v>6.4863082150708351E-2</v>
      </c>
      <c r="M8" s="1">
        <f t="shared" si="6"/>
        <v>108.17</v>
      </c>
      <c r="N8" s="1">
        <f t="shared" si="7"/>
        <v>108.10513691784929</v>
      </c>
    </row>
    <row r="9" spans="1:14" hidden="1">
      <c r="A9" s="1" t="str">
        <f>'Cleaned Data'!A9</f>
        <v>TRON</v>
      </c>
      <c r="B9" s="1" t="str">
        <f>'Cleaned Data'!B9</f>
        <v>TRX</v>
      </c>
      <c r="C9" s="24">
        <f>'Cleaned Data'!C9</f>
        <v>0.27339999999999998</v>
      </c>
      <c r="D9" s="3">
        <f>'Cleaned Data'!D9</f>
        <v>3.5999999999999999E-3</v>
      </c>
      <c r="E9" s="1">
        <f t="shared" si="0"/>
        <v>0.27241929055400554</v>
      </c>
      <c r="F9" s="24">
        <f t="shared" si="1"/>
        <v>9.8070944599443211E-4</v>
      </c>
      <c r="G9" s="1" t="str">
        <f t="shared" si="2"/>
        <v>Up to $10</v>
      </c>
      <c r="H9" s="1">
        <f t="shared" si="3"/>
        <v>51</v>
      </c>
      <c r="I9" s="1" t="str">
        <f t="shared" si="4"/>
        <v/>
      </c>
      <c r="K9" s="1" t="str">
        <f>IFERROR(INDEX($B$2:$B$201,MATCH(ROWS($K$2:K9),$H$2:$H$201,0)),"")</f>
        <v>RAY</v>
      </c>
      <c r="L9" s="1">
        <f t="shared" si="5"/>
        <v>2.3823267767124623E-2</v>
      </c>
      <c r="M9" s="1">
        <f t="shared" si="6"/>
        <v>2.06</v>
      </c>
      <c r="N9" s="1">
        <f t="shared" si="7"/>
        <v>2.0361767322328754</v>
      </c>
    </row>
    <row r="10" spans="1:14" hidden="1">
      <c r="A10" s="1" t="str">
        <f>'Cleaned Data'!A10</f>
        <v>Dogecoin</v>
      </c>
      <c r="B10" s="1" t="str">
        <f>'Cleaned Data'!B10</f>
        <v>DOGE</v>
      </c>
      <c r="C10" s="24">
        <f>'Cleaned Data'!C10</f>
        <v>0.16539999999999999</v>
      </c>
      <c r="D10" s="3">
        <f>'Cleaned Data'!D10</f>
        <v>9.3999999999999986E-3</v>
      </c>
      <c r="E10" s="1">
        <f t="shared" si="0"/>
        <v>0.16385971864473942</v>
      </c>
      <c r="F10" s="24">
        <f t="shared" si="1"/>
        <v>1.5402813552605754E-3</v>
      </c>
      <c r="G10" s="1" t="str">
        <f t="shared" si="2"/>
        <v>Up to $10</v>
      </c>
      <c r="H10" s="1">
        <f t="shared" si="3"/>
        <v>39</v>
      </c>
      <c r="I10" s="1" t="str">
        <f t="shared" si="4"/>
        <v/>
      </c>
      <c r="K10" s="1" t="str">
        <f>IFERROR(INDEX($B$2:$B$201,MATCH(ROWS($K$2:K10),$H$2:$H$201,0)),"")</f>
        <v>JLP</v>
      </c>
      <c r="L10" s="1">
        <f t="shared" si="5"/>
        <v>1.9352911896465486E-2</v>
      </c>
      <c r="M10" s="1">
        <f t="shared" si="6"/>
        <v>4.32</v>
      </c>
      <c r="N10" s="1">
        <f t="shared" si="7"/>
        <v>4.3006470881035348</v>
      </c>
    </row>
    <row r="11" spans="1:14" hidden="1">
      <c r="A11" s="1" t="str">
        <f>'Cleaned Data'!A11</f>
        <v>Cardano</v>
      </c>
      <c r="B11" s="1" t="str">
        <f>'Cleaned Data'!B11</f>
        <v>ADA</v>
      </c>
      <c r="C11" s="24">
        <f>'Cleaned Data'!C11</f>
        <v>0.58079999999999998</v>
      </c>
      <c r="D11" s="3">
        <f>'Cleaned Data'!D11</f>
        <v>9.5999999999999992E-3</v>
      </c>
      <c r="E11" s="1">
        <f t="shared" si="0"/>
        <v>0.57527733755942945</v>
      </c>
      <c r="F11" s="24">
        <f t="shared" si="1"/>
        <v>5.522662440570536E-3</v>
      </c>
      <c r="G11" s="1" t="str">
        <f t="shared" si="2"/>
        <v>Up to $10</v>
      </c>
      <c r="H11" s="1">
        <f t="shared" si="3"/>
        <v>20</v>
      </c>
      <c r="I11" s="1" t="str">
        <f t="shared" si="4"/>
        <v/>
      </c>
      <c r="K11" s="1" t="str">
        <f>IFERROR(INDEX($B$2:$B$201,MATCH(ROWS($K$2:K11),$H$2:$H$201,0)),"")</f>
        <v>WOULD</v>
      </c>
      <c r="L11" s="1">
        <f t="shared" si="5"/>
        <v>1.4545646898961484E-2</v>
      </c>
      <c r="M11" s="1">
        <f t="shared" si="6"/>
        <v>0.49459999999999998</v>
      </c>
      <c r="N11" s="1">
        <f t="shared" si="7"/>
        <v>0.4800543531010385</v>
      </c>
    </row>
    <row r="12" spans="1:14" hidden="1">
      <c r="A12" s="1" t="str">
        <f>'Cleaned Data'!A12</f>
        <v>Pudgy Penguins</v>
      </c>
      <c r="B12" s="1" t="str">
        <f>'Cleaned Data'!B12</f>
        <v>PENGU</v>
      </c>
      <c r="C12" s="24">
        <f>'Cleaned Data'!C12</f>
        <v>9.0959999999999999E-3</v>
      </c>
      <c r="D12" s="3">
        <f>'Cleaned Data'!D12</f>
        <v>1.3999999999999999E-2</v>
      </c>
      <c r="E12" s="1">
        <f t="shared" si="0"/>
        <v>8.9704142011834322E-3</v>
      </c>
      <c r="F12" s="24">
        <f t="shared" si="1"/>
        <v>1.2558579881656769E-4</v>
      </c>
      <c r="G12" s="1" t="str">
        <f t="shared" si="2"/>
        <v>Up to $10</v>
      </c>
      <c r="H12" s="1">
        <f t="shared" si="3"/>
        <v>102</v>
      </c>
      <c r="I12" s="1" t="str">
        <f t="shared" si="4"/>
        <v/>
      </c>
    </row>
    <row r="13" spans="1:14" hidden="1">
      <c r="A13" s="1" t="str">
        <f>'Cleaned Data'!A13</f>
        <v>Walrus</v>
      </c>
      <c r="B13" s="1" t="str">
        <f>'Cleaned Data'!B13</f>
        <v>WAL</v>
      </c>
      <c r="C13" s="24">
        <f>'Cleaned Data'!C13</f>
        <v>0.42049999999999998</v>
      </c>
      <c r="D13" s="3">
        <f>'Cleaned Data'!D13</f>
        <v>1.5700000000000002E-2</v>
      </c>
      <c r="E13" s="1">
        <f t="shared" si="0"/>
        <v>0.41400019690853596</v>
      </c>
      <c r="F13" s="24">
        <f t="shared" si="1"/>
        <v>6.4998030914640292E-3</v>
      </c>
      <c r="G13" s="1" t="str">
        <f t="shared" si="2"/>
        <v>Up to $10</v>
      </c>
      <c r="H13" s="1">
        <f t="shared" si="3"/>
        <v>18</v>
      </c>
      <c r="I13" s="1" t="str">
        <f t="shared" si="4"/>
        <v/>
      </c>
    </row>
    <row r="14" spans="1:14" hidden="1">
      <c r="A14" s="1" t="str">
        <f>'Cleaned Data'!A14</f>
        <v>Raydium</v>
      </c>
      <c r="B14" s="1" t="str">
        <f>'Cleaned Data'!B14</f>
        <v>RAY</v>
      </c>
      <c r="C14" s="24">
        <f>'Cleaned Data'!C14</f>
        <v>2.06</v>
      </c>
      <c r="D14" s="3">
        <f>'Cleaned Data'!D14</f>
        <v>1.1699999999999999E-2</v>
      </c>
      <c r="E14" s="1">
        <f t="shared" si="0"/>
        <v>2.0361767322328754</v>
      </c>
      <c r="F14" s="24">
        <f t="shared" si="1"/>
        <v>2.3823267767124623E-2</v>
      </c>
      <c r="G14" s="1" t="str">
        <f t="shared" si="2"/>
        <v>Up to $10</v>
      </c>
      <c r="H14" s="1">
        <f t="shared" si="3"/>
        <v>8</v>
      </c>
      <c r="I14" s="1" t="str">
        <f t="shared" si="4"/>
        <v>Top 10</v>
      </c>
    </row>
    <row r="15" spans="1:14" hidden="1">
      <c r="A15" s="1" t="str">
        <f>'Cleaned Data'!A15</f>
        <v>Core</v>
      </c>
      <c r="B15" s="1" t="str">
        <f>'Cleaned Data'!B15</f>
        <v>CORE</v>
      </c>
      <c r="C15" s="24">
        <f>'Cleaned Data'!C15</f>
        <v>0.54430000000000001</v>
      </c>
      <c r="D15" s="3">
        <f>'Cleaned Data'!D15</f>
        <v>8.199999999999999E-3</v>
      </c>
      <c r="E15" s="1">
        <f t="shared" si="0"/>
        <v>0.53987304106328116</v>
      </c>
      <c r="F15" s="24">
        <f t="shared" si="1"/>
        <v>4.42695893671885E-3</v>
      </c>
      <c r="G15" s="1" t="str">
        <f t="shared" si="2"/>
        <v>Up to $10</v>
      </c>
      <c r="H15" s="1">
        <f t="shared" si="3"/>
        <v>23</v>
      </c>
      <c r="I15" s="1" t="str">
        <f t="shared" si="4"/>
        <v/>
      </c>
    </row>
    <row r="16" spans="1:14" hidden="1">
      <c r="A16" s="1" t="str">
        <f>'Cleaned Data'!A16</f>
        <v>Tezos</v>
      </c>
      <c r="B16" s="1" t="str">
        <f>'Cleaned Data'!B16</f>
        <v>XTZ</v>
      </c>
      <c r="C16" s="24">
        <f>'Cleaned Data'!C16</f>
        <v>0.52070000000000005</v>
      </c>
      <c r="D16" s="3">
        <f>'Cleaned Data'!D16</f>
        <v>6.6E-3</v>
      </c>
      <c r="E16" s="1">
        <f t="shared" si="0"/>
        <v>0.51728591297436921</v>
      </c>
      <c r="F16" s="24">
        <f t="shared" si="1"/>
        <v>3.4140870256308409E-3</v>
      </c>
      <c r="G16" s="1" t="str">
        <f t="shared" si="2"/>
        <v>Up to $10</v>
      </c>
      <c r="H16" s="1">
        <f t="shared" si="3"/>
        <v>26</v>
      </c>
      <c r="I16" s="1" t="str">
        <f t="shared" si="4"/>
        <v/>
      </c>
    </row>
    <row r="17" spans="1:9" hidden="1">
      <c r="A17" s="1" t="str">
        <f>'Cleaned Data'!A17</f>
        <v>Pyth Network</v>
      </c>
      <c r="B17" s="1" t="str">
        <f>'Cleaned Data'!B17</f>
        <v>PYTH</v>
      </c>
      <c r="C17" s="24">
        <f>'Cleaned Data'!C17</f>
        <v>9.4530000000000003E-2</v>
      </c>
      <c r="D17" s="3">
        <f>'Cleaned Data'!D17</f>
        <v>2.2700000000000001E-2</v>
      </c>
      <c r="E17" s="1">
        <f t="shared" si="0"/>
        <v>9.2431798181284844E-2</v>
      </c>
      <c r="F17" s="24">
        <f t="shared" si="1"/>
        <v>2.0982018187151591E-3</v>
      </c>
      <c r="G17" s="1" t="str">
        <f t="shared" si="2"/>
        <v>Up to $10</v>
      </c>
      <c r="H17" s="1">
        <f t="shared" si="3"/>
        <v>36</v>
      </c>
      <c r="I17" s="1" t="str">
        <f t="shared" si="4"/>
        <v/>
      </c>
    </row>
    <row r="18" spans="1:9" hidden="1">
      <c r="A18" s="1" t="str">
        <f>'Cleaned Data'!A18</f>
        <v>Flow</v>
      </c>
      <c r="B18" s="1" t="str">
        <f>'Cleaned Data'!B18</f>
        <v>FLOW</v>
      </c>
      <c r="C18" s="24">
        <f>'Cleaned Data'!C18</f>
        <v>0.33939999999999998</v>
      </c>
      <c r="D18" s="3">
        <f>'Cleaned Data'!D18</f>
        <v>0.01</v>
      </c>
      <c r="E18" s="1">
        <f t="shared" si="0"/>
        <v>0.33603960396039601</v>
      </c>
      <c r="F18" s="24">
        <f t="shared" si="1"/>
        <v>3.3603960396039745E-3</v>
      </c>
      <c r="G18" s="1" t="str">
        <f t="shared" si="2"/>
        <v>Up to $10</v>
      </c>
      <c r="H18" s="1">
        <f t="shared" si="3"/>
        <v>28</v>
      </c>
      <c r="I18" s="1" t="str">
        <f t="shared" si="4"/>
        <v/>
      </c>
    </row>
    <row r="19" spans="1:9" hidden="1">
      <c r="A19" s="1" t="str">
        <f>'Cleaned Data'!A19</f>
        <v>Maple Finance</v>
      </c>
      <c r="B19" s="1" t="str">
        <f>'Cleaned Data'!B19</f>
        <v>SYRUP</v>
      </c>
      <c r="C19" s="24">
        <f>'Cleaned Data'!C19</f>
        <v>0.46260000000000001</v>
      </c>
      <c r="D19" s="3">
        <f>'Cleaned Data'!D19</f>
        <v>3.0499999999999999E-2</v>
      </c>
      <c r="E19" s="1">
        <f t="shared" si="0"/>
        <v>0.44890829694323148</v>
      </c>
      <c r="F19" s="24">
        <f t="shared" si="1"/>
        <v>1.3691703056768534E-2</v>
      </c>
      <c r="G19" s="1" t="str">
        <f t="shared" si="2"/>
        <v>Up to $10</v>
      </c>
      <c r="H19" s="1">
        <f t="shared" si="3"/>
        <v>11</v>
      </c>
      <c r="I19" s="1" t="str">
        <f t="shared" si="4"/>
        <v/>
      </c>
    </row>
    <row r="20" spans="1:9" hidden="1">
      <c r="A20" s="1" t="str">
        <f>'Cleaned Data'!A20</f>
        <v>Decentraland</v>
      </c>
      <c r="B20" s="1" t="str">
        <f>'Cleaned Data'!B20</f>
        <v>MANA</v>
      </c>
      <c r="C20" s="24">
        <f>'Cleaned Data'!C20</f>
        <v>0.2505</v>
      </c>
      <c r="D20" s="3">
        <f>'Cleaned Data'!D20</f>
        <v>1.37E-2</v>
      </c>
      <c r="E20" s="1">
        <f t="shared" si="0"/>
        <v>0.24711453092630956</v>
      </c>
      <c r="F20" s="24">
        <f t="shared" si="1"/>
        <v>3.3854690736904447E-3</v>
      </c>
      <c r="G20" s="1" t="str">
        <f t="shared" si="2"/>
        <v>Up to $10</v>
      </c>
      <c r="H20" s="1">
        <f t="shared" si="3"/>
        <v>27</v>
      </c>
      <c r="I20" s="1" t="str">
        <f t="shared" si="4"/>
        <v/>
      </c>
    </row>
    <row r="21" spans="1:9" hidden="1">
      <c r="A21" s="1" t="str">
        <f>'Cleaned Data'!A21</f>
        <v>TrueUSD</v>
      </c>
      <c r="B21" s="1" t="str">
        <f>'Cleaned Data'!B21</f>
        <v>TUSD</v>
      </c>
      <c r="C21" s="24">
        <f>'Cleaned Data'!C21</f>
        <v>0.99760000000000004</v>
      </c>
      <c r="D21" s="3">
        <f>'Cleaned Data'!D21</f>
        <v>1E-4</v>
      </c>
      <c r="E21" s="1">
        <f t="shared" si="0"/>
        <v>0.99750024997500253</v>
      </c>
      <c r="F21" s="24">
        <f t="shared" si="1"/>
        <v>9.975002499751362E-5</v>
      </c>
      <c r="G21" s="1" t="str">
        <f t="shared" si="2"/>
        <v>Up to $10</v>
      </c>
      <c r="H21" s="1">
        <f t="shared" si="3"/>
        <v>109</v>
      </c>
      <c r="I21" s="1" t="str">
        <f t="shared" si="4"/>
        <v/>
      </c>
    </row>
    <row r="22" spans="1:9" hidden="1">
      <c r="A22" s="1" t="str">
        <f>'Cleaned Data'!A22</f>
        <v>Fasttoken</v>
      </c>
      <c r="B22" s="1" t="str">
        <f>'Cleaned Data'!B22</f>
        <v>FTN</v>
      </c>
      <c r="C22" s="24">
        <f>'Cleaned Data'!C22</f>
        <v>4.45</v>
      </c>
      <c r="D22" s="3">
        <f>'Cleaned Data'!D22</f>
        <v>1E-4</v>
      </c>
      <c r="E22" s="1">
        <f t="shared" si="0"/>
        <v>4.4495550444955505</v>
      </c>
      <c r="F22" s="24">
        <f t="shared" si="1"/>
        <v>4.4495550444967336E-4</v>
      </c>
      <c r="G22" s="1" t="str">
        <f t="shared" si="2"/>
        <v>Up to $10</v>
      </c>
      <c r="H22" s="1">
        <f t="shared" si="3"/>
        <v>74</v>
      </c>
      <c r="I22" s="1" t="str">
        <f t="shared" si="4"/>
        <v/>
      </c>
    </row>
    <row r="23" spans="1:9" hidden="1">
      <c r="A23" s="1" t="str">
        <f>'Cleaned Data'!A23</f>
        <v>Jupiter Perps LP</v>
      </c>
      <c r="B23" s="1" t="str">
        <f>'Cleaned Data'!B23</f>
        <v>JLP</v>
      </c>
      <c r="C23" s="24">
        <f>'Cleaned Data'!C23</f>
        <v>4.32</v>
      </c>
      <c r="D23" s="3">
        <f>'Cleaned Data'!D23</f>
        <v>4.5000000000000005E-3</v>
      </c>
      <c r="E23" s="1">
        <f t="shared" si="0"/>
        <v>4.3006470881035348</v>
      </c>
      <c r="F23" s="24">
        <f t="shared" si="1"/>
        <v>1.9352911896465486E-2</v>
      </c>
      <c r="G23" s="1" t="str">
        <f t="shared" si="2"/>
        <v>Up to $10</v>
      </c>
      <c r="H23" s="1">
        <f t="shared" si="3"/>
        <v>9</v>
      </c>
      <c r="I23" s="1" t="str">
        <f t="shared" si="4"/>
        <v>Top 10</v>
      </c>
    </row>
    <row r="24" spans="1:9" hidden="1">
      <c r="A24" s="1" t="str">
        <f>'Cleaned Data'!A24</f>
        <v>Zeebu</v>
      </c>
      <c r="B24" s="1" t="str">
        <f>'Cleaned Data'!B24</f>
        <v>ZBU</v>
      </c>
      <c r="C24" s="24">
        <f>'Cleaned Data'!C24</f>
        <v>3.26</v>
      </c>
      <c r="D24" s="3">
        <f>'Cleaned Data'!D24</f>
        <v>5.9999999999999995E-4</v>
      </c>
      <c r="E24" s="1">
        <f t="shared" si="0"/>
        <v>3.2580451728962623</v>
      </c>
      <c r="F24" s="24">
        <f t="shared" si="1"/>
        <v>1.9548271037375109E-3</v>
      </c>
      <c r="G24" s="1" t="str">
        <f t="shared" si="2"/>
        <v>Up to $10</v>
      </c>
      <c r="H24" s="1">
        <f t="shared" si="3"/>
        <v>37</v>
      </c>
      <c r="I24" s="1" t="str">
        <f t="shared" si="4"/>
        <v/>
      </c>
    </row>
    <row r="25" spans="1:9" hidden="1">
      <c r="A25" s="1" t="str">
        <f>'Cleaned Data'!A25</f>
        <v>Fellaz</v>
      </c>
      <c r="B25" s="1" t="str">
        <f>'Cleaned Data'!B25</f>
        <v>FLZ</v>
      </c>
      <c r="C25" s="24">
        <f>'Cleaned Data'!C25</f>
        <v>1.43</v>
      </c>
      <c r="D25" s="3">
        <f>'Cleaned Data'!D25</f>
        <v>5.1999999999999998E-3</v>
      </c>
      <c r="E25" s="1">
        <f t="shared" si="0"/>
        <v>1.422602467170712</v>
      </c>
      <c r="F25" s="24">
        <f t="shared" si="1"/>
        <v>7.3975328292879006E-3</v>
      </c>
      <c r="G25" s="1" t="str">
        <f t="shared" si="2"/>
        <v>Up to $10</v>
      </c>
      <c r="H25" s="1">
        <f t="shared" si="3"/>
        <v>17</v>
      </c>
      <c r="I25" s="1" t="str">
        <f t="shared" si="4"/>
        <v/>
      </c>
    </row>
    <row r="26" spans="1:9" hidden="1">
      <c r="A26" s="1" t="str">
        <f>'Cleaned Data'!A26</f>
        <v>Usual USD</v>
      </c>
      <c r="B26" s="1" t="str">
        <f>'Cleaned Data'!B26</f>
        <v>USD0</v>
      </c>
      <c r="C26" s="24">
        <f>'Cleaned Data'!C26</f>
        <v>0.99770000000000003</v>
      </c>
      <c r="D26" s="3">
        <f>'Cleaned Data'!D26</f>
        <v>1E-4</v>
      </c>
      <c r="E26" s="1">
        <f t="shared" si="0"/>
        <v>0.99760023997600245</v>
      </c>
      <c r="F26" s="24">
        <f t="shared" si="1"/>
        <v>9.9760023997585989E-5</v>
      </c>
      <c r="G26" s="1" t="str">
        <f t="shared" si="2"/>
        <v>Up to $10</v>
      </c>
      <c r="H26" s="1">
        <f t="shared" si="3"/>
        <v>108</v>
      </c>
      <c r="I26" s="1" t="str">
        <f t="shared" si="4"/>
        <v/>
      </c>
    </row>
    <row r="27" spans="1:9" hidden="1">
      <c r="A27" s="1" t="str">
        <f>'Cleaned Data'!A27</f>
        <v>Ondo US Dollar Yield</v>
      </c>
      <c r="B27" s="1" t="str">
        <f>'Cleaned Data'!B27</f>
        <v>USDY</v>
      </c>
      <c r="C27" s="24">
        <f>'Cleaned Data'!C27</f>
        <v>1.0900000000000001</v>
      </c>
      <c r="D27" s="3">
        <f>'Cleaned Data'!D27</f>
        <v>2.9999999999999997E-4</v>
      </c>
      <c r="E27" s="1">
        <f t="shared" si="0"/>
        <v>1.0896730980705789</v>
      </c>
      <c r="F27" s="24">
        <f t="shared" si="1"/>
        <v>3.2690192942119722E-4</v>
      </c>
      <c r="G27" s="1" t="str">
        <f t="shared" si="2"/>
        <v>Up to $10</v>
      </c>
      <c r="H27" s="1">
        <f t="shared" si="3"/>
        <v>83</v>
      </c>
      <c r="I27" s="1" t="str">
        <f t="shared" si="4"/>
        <v/>
      </c>
    </row>
    <row r="28" spans="1:9" hidden="1">
      <c r="A28" s="1" t="str">
        <f>'Cleaned Data'!A28</f>
        <v>Falcon USD</v>
      </c>
      <c r="B28" s="1" t="str">
        <f>'Cleaned Data'!B28</f>
        <v>USDf</v>
      </c>
      <c r="C28" s="24">
        <f>'Cleaned Data'!C28</f>
        <v>0.99970000000000003</v>
      </c>
      <c r="D28" s="3">
        <f>'Cleaned Data'!D28</f>
        <v>0</v>
      </c>
      <c r="E28" s="1">
        <f t="shared" si="0"/>
        <v>0.99970000000000003</v>
      </c>
      <c r="F28" s="24">
        <f t="shared" si="1"/>
        <v>0</v>
      </c>
      <c r="G28" s="1" t="str">
        <f t="shared" si="2"/>
        <v>Up to $10</v>
      </c>
      <c r="H28" s="1">
        <f t="shared" si="3"/>
        <v>191</v>
      </c>
      <c r="I28" s="1" t="str">
        <f t="shared" si="4"/>
        <v/>
      </c>
    </row>
    <row r="29" spans="1:9" hidden="1">
      <c r="A29" s="1" t="str">
        <f>'Cleaned Data'!A29</f>
        <v>Loaded Lions</v>
      </c>
      <c r="B29" s="1" t="str">
        <f>'Cleaned Data'!B29</f>
        <v>LION</v>
      </c>
      <c r="C29" s="24">
        <f>'Cleaned Data'!C29</f>
        <v>1.6469999999999999E-2</v>
      </c>
      <c r="D29" s="3">
        <f>'Cleaned Data'!D29</f>
        <v>5.1999999999999998E-3</v>
      </c>
      <c r="E29" s="1">
        <f t="shared" si="0"/>
        <v>1.6384799044966172E-2</v>
      </c>
      <c r="F29" s="24">
        <f t="shared" si="1"/>
        <v>8.5200955033826881E-5</v>
      </c>
      <c r="G29" s="1" t="str">
        <f t="shared" si="2"/>
        <v>Up to $10</v>
      </c>
      <c r="H29" s="1">
        <f t="shared" si="3"/>
        <v>114</v>
      </c>
      <c r="I29" s="1" t="str">
        <f t="shared" si="4"/>
        <v/>
      </c>
    </row>
    <row r="30" spans="1:9" hidden="1">
      <c r="A30" s="1" t="str">
        <f>'Cleaned Data'!A30</f>
        <v>would</v>
      </c>
      <c r="B30" s="1" t="str">
        <f>'Cleaned Data'!B30</f>
        <v>WOULD</v>
      </c>
      <c r="C30" s="24">
        <f>'Cleaned Data'!C30</f>
        <v>0.49459999999999998</v>
      </c>
      <c r="D30" s="3">
        <f>'Cleaned Data'!D30</f>
        <v>3.0299999999999997E-2</v>
      </c>
      <c r="E30" s="1">
        <f t="shared" si="0"/>
        <v>0.4800543531010385</v>
      </c>
      <c r="F30" s="24">
        <f t="shared" si="1"/>
        <v>1.4545646898961484E-2</v>
      </c>
      <c r="G30" s="1" t="str">
        <f t="shared" si="2"/>
        <v>Up to $10</v>
      </c>
      <c r="H30" s="1">
        <f t="shared" si="3"/>
        <v>10</v>
      </c>
      <c r="I30" s="1" t="str">
        <f t="shared" si="4"/>
        <v>Top 10</v>
      </c>
    </row>
    <row r="31" spans="1:9" hidden="1">
      <c r="A31" s="1" t="str">
        <f>'Cleaned Data'!A31</f>
        <v>WhiteRock</v>
      </c>
      <c r="B31" s="1" t="str">
        <f>'Cleaned Data'!B31</f>
        <v>WHITE</v>
      </c>
      <c r="C31" s="24">
        <f>'Cleaned Data'!C31</f>
        <v>7.3550000000000004E-4</v>
      </c>
      <c r="D31" s="3">
        <f>'Cleaned Data'!D31</f>
        <v>6.6E-3</v>
      </c>
      <c r="E31" s="1">
        <f t="shared" si="0"/>
        <v>7.3067752831313336E-4</v>
      </c>
      <c r="F31" s="24">
        <f t="shared" si="1"/>
        <v>4.8224716868666782E-6</v>
      </c>
      <c r="G31" s="1" t="str">
        <f t="shared" si="2"/>
        <v>Up to $10</v>
      </c>
      <c r="H31" s="1">
        <f t="shared" si="3"/>
        <v>167</v>
      </c>
      <c r="I31" s="1" t="str">
        <f t="shared" si="4"/>
        <v/>
      </c>
    </row>
    <row r="32" spans="1:9" hidden="1">
      <c r="A32" s="1" t="str">
        <f>'Cleaned Data'!A32</f>
        <v>Ontology</v>
      </c>
      <c r="B32" s="1" t="str">
        <f>'Cleaned Data'!B32</f>
        <v>ONT</v>
      </c>
      <c r="C32" s="24">
        <f>'Cleaned Data'!C32</f>
        <v>0.1205</v>
      </c>
      <c r="D32" s="3">
        <f>'Cleaned Data'!D32</f>
        <v>1.1399999999999999E-2</v>
      </c>
      <c r="E32" s="1">
        <f t="shared" si="0"/>
        <v>0.11914178366620524</v>
      </c>
      <c r="F32" s="24">
        <f t="shared" si="1"/>
        <v>1.3582163337947512E-3</v>
      </c>
      <c r="G32" s="1" t="str">
        <f t="shared" si="2"/>
        <v>Up to $10</v>
      </c>
      <c r="H32" s="1">
        <f t="shared" si="3"/>
        <v>43</v>
      </c>
      <c r="I32" s="1" t="str">
        <f t="shared" si="4"/>
        <v/>
      </c>
    </row>
    <row r="33" spans="1:9" hidden="1">
      <c r="A33" s="1" t="str">
        <f>'Cleaned Data'!A33</f>
        <v>Request</v>
      </c>
      <c r="B33" s="1" t="str">
        <f>'Cleaned Data'!B33</f>
        <v>REQ</v>
      </c>
      <c r="C33" s="24">
        <f>'Cleaned Data'!C33</f>
        <v>0.1336</v>
      </c>
      <c r="D33" s="3">
        <f>'Cleaned Data'!D33</f>
        <v>3.2000000000000002E-3</v>
      </c>
      <c r="E33" s="1">
        <f t="shared" si="0"/>
        <v>0.13317384370015947</v>
      </c>
      <c r="F33" s="24">
        <f t="shared" si="1"/>
        <v>4.2615629984052439E-4</v>
      </c>
      <c r="G33" s="1" t="str">
        <f t="shared" si="2"/>
        <v>Up to $10</v>
      </c>
      <c r="H33" s="1">
        <f t="shared" si="3"/>
        <v>75</v>
      </c>
      <c r="I33" s="1" t="str">
        <f t="shared" si="4"/>
        <v/>
      </c>
    </row>
    <row r="34" spans="1:9" hidden="1">
      <c r="A34" s="1" t="str">
        <f>'Cleaned Data'!A34</f>
        <v>Paycoin</v>
      </c>
      <c r="B34" s="1" t="str">
        <f>'Cleaned Data'!B34</f>
        <v>PCI</v>
      </c>
      <c r="C34" s="24">
        <f>'Cleaned Data'!C34</f>
        <v>0.1043</v>
      </c>
      <c r="D34" s="3">
        <f>'Cleaned Data'!D34</f>
        <v>6.3E-3</v>
      </c>
      <c r="E34" s="1">
        <f t="shared" si="0"/>
        <v>0.10364702375037266</v>
      </c>
      <c r="F34" s="24">
        <f t="shared" si="1"/>
        <v>6.5297624962734613E-4</v>
      </c>
      <c r="G34" s="1" t="str">
        <f t="shared" si="2"/>
        <v>Up to $10</v>
      </c>
      <c r="H34" s="1">
        <f t="shared" si="3"/>
        <v>65</v>
      </c>
      <c r="I34" s="1" t="str">
        <f t="shared" si="4"/>
        <v/>
      </c>
    </row>
    <row r="35" spans="1:9" hidden="1">
      <c r="A35" s="1" t="str">
        <f>'Cleaned Data'!A35</f>
        <v>COTI</v>
      </c>
      <c r="B35" s="1" t="str">
        <f>'Cleaned Data'!B35</f>
        <v>COTI</v>
      </c>
      <c r="C35" s="24">
        <f>'Cleaned Data'!C35</f>
        <v>5.0279999999999998E-2</v>
      </c>
      <c r="D35" s="3">
        <f>'Cleaned Data'!D35</f>
        <v>9.4999999999999998E-3</v>
      </c>
      <c r="E35" s="1">
        <f t="shared" si="0"/>
        <v>4.9806835066864778E-2</v>
      </c>
      <c r="F35" s="24">
        <f t="shared" si="1"/>
        <v>4.7316493313522001E-4</v>
      </c>
      <c r="G35" s="1" t="str">
        <f t="shared" si="2"/>
        <v>Up to $10</v>
      </c>
      <c r="H35" s="1">
        <f t="shared" si="3"/>
        <v>71</v>
      </c>
      <c r="I35" s="1" t="str">
        <f t="shared" si="4"/>
        <v/>
      </c>
    </row>
    <row r="36" spans="1:9" hidden="1">
      <c r="A36" s="1" t="str">
        <f>'Cleaned Data'!A36</f>
        <v>Gravity (by Galxe)</v>
      </c>
      <c r="B36" s="1" t="str">
        <f>'Cleaned Data'!B36</f>
        <v>G</v>
      </c>
      <c r="C36" s="24">
        <f>'Cleaned Data'!C36</f>
        <v>1.1480000000000001E-2</v>
      </c>
      <c r="D36" s="3">
        <f>'Cleaned Data'!D36</f>
        <v>1.1299999999999999E-2</v>
      </c>
      <c r="E36" s="1">
        <f t="shared" si="0"/>
        <v>1.1351725501829328E-2</v>
      </c>
      <c r="F36" s="24">
        <f t="shared" si="1"/>
        <v>1.2827449817067252E-4</v>
      </c>
      <c r="G36" s="1" t="str">
        <f t="shared" si="2"/>
        <v>Up to $10</v>
      </c>
      <c r="H36" s="1">
        <f t="shared" si="3"/>
        <v>100</v>
      </c>
      <c r="I36" s="1" t="str">
        <f t="shared" si="4"/>
        <v/>
      </c>
    </row>
    <row r="37" spans="1:9" hidden="1">
      <c r="A37" s="1" t="str">
        <f>'Cleaned Data'!A37</f>
        <v>Terra</v>
      </c>
      <c r="B37" s="1" t="str">
        <f>'Cleaned Data'!B37</f>
        <v>LUNA</v>
      </c>
      <c r="C37" s="24">
        <f>'Cleaned Data'!C37</f>
        <v>0.15359999999999999</v>
      </c>
      <c r="D37" s="3">
        <f>'Cleaned Data'!D37</f>
        <v>1.01E-2</v>
      </c>
      <c r="E37" s="1">
        <f t="shared" si="0"/>
        <v>0.15206415206415205</v>
      </c>
      <c r="F37" s="24">
        <f t="shared" si="1"/>
        <v>1.5358479358479338E-3</v>
      </c>
      <c r="G37" s="1" t="str">
        <f t="shared" si="2"/>
        <v>Up to $10</v>
      </c>
      <c r="H37" s="1">
        <f t="shared" si="3"/>
        <v>40</v>
      </c>
      <c r="I37" s="1" t="str">
        <f t="shared" si="4"/>
        <v/>
      </c>
    </row>
    <row r="38" spans="1:9" hidden="1">
      <c r="A38" s="1" t="str">
        <f>'Cleaned Data'!A38</f>
        <v>Solar</v>
      </c>
      <c r="B38" s="1" t="str">
        <f>'Cleaned Data'!B38</f>
        <v>SXP</v>
      </c>
      <c r="C38" s="24">
        <f>'Cleaned Data'!C38</f>
        <v>0.16800000000000001</v>
      </c>
      <c r="D38" s="3">
        <f>'Cleaned Data'!D38</f>
        <v>2.8999999999999998E-3</v>
      </c>
      <c r="E38" s="1">
        <f t="shared" si="0"/>
        <v>0.16751420879449599</v>
      </c>
      <c r="F38" s="24">
        <f t="shared" si="1"/>
        <v>4.8579120550401589E-4</v>
      </c>
      <c r="G38" s="1" t="str">
        <f t="shared" si="2"/>
        <v>Up to $10</v>
      </c>
      <c r="H38" s="1">
        <f t="shared" si="3"/>
        <v>70</v>
      </c>
      <c r="I38" s="1" t="str">
        <f t="shared" si="4"/>
        <v/>
      </c>
    </row>
    <row r="39" spans="1:9" hidden="1">
      <c r="A39" s="1" t="str">
        <f>'Cleaned Data'!A39</f>
        <v>Destra Network</v>
      </c>
      <c r="B39" s="1" t="str">
        <f>'Cleaned Data'!B39</f>
        <v>DSYNC</v>
      </c>
      <c r="C39" s="24">
        <f>'Cleaned Data'!C39</f>
        <v>0.1111</v>
      </c>
      <c r="D39" s="3">
        <f>'Cleaned Data'!D39</f>
        <v>7.0999999999999995E-3</v>
      </c>
      <c r="E39" s="1">
        <f t="shared" si="0"/>
        <v>0.1103167510674213</v>
      </c>
      <c r="F39" s="24">
        <f t="shared" si="1"/>
        <v>7.8324893257870898E-4</v>
      </c>
      <c r="G39" s="1" t="str">
        <f t="shared" si="2"/>
        <v>Up to $10</v>
      </c>
      <c r="H39" s="1">
        <f t="shared" si="3"/>
        <v>60</v>
      </c>
      <c r="I39" s="1" t="str">
        <f t="shared" si="4"/>
        <v/>
      </c>
    </row>
    <row r="40" spans="1:9" hidden="1">
      <c r="A40" s="1" t="str">
        <f>'Cleaned Data'!A40</f>
        <v>World Mobile Token</v>
      </c>
      <c r="B40" s="1" t="str">
        <f>'Cleaned Data'!B40</f>
        <v>WMTX</v>
      </c>
      <c r="C40" s="24">
        <f>'Cleaned Data'!C40</f>
        <v>0.1537</v>
      </c>
      <c r="D40" s="3">
        <f>'Cleaned Data'!D40</f>
        <v>5.4000000000000003E-3</v>
      </c>
      <c r="E40" s="1">
        <f t="shared" si="0"/>
        <v>0.15287447781977323</v>
      </c>
      <c r="F40" s="24">
        <f t="shared" si="1"/>
        <v>8.2552218022677315E-4</v>
      </c>
      <c r="G40" s="1" t="str">
        <f t="shared" si="2"/>
        <v>Up to $10</v>
      </c>
      <c r="H40" s="1">
        <f t="shared" si="3"/>
        <v>55</v>
      </c>
      <c r="I40" s="1" t="str">
        <f t="shared" si="4"/>
        <v/>
      </c>
    </row>
    <row r="41" spans="1:9" hidden="1">
      <c r="A41" s="1" t="str">
        <f>'Cleaned Data'!A41</f>
        <v>SKALE</v>
      </c>
      <c r="B41" s="1" t="str">
        <f>'Cleaned Data'!B41</f>
        <v>SKL</v>
      </c>
      <c r="C41" s="24">
        <f>'Cleaned Data'!C41</f>
        <v>1.813E-2</v>
      </c>
      <c r="D41" s="3">
        <f>'Cleaned Data'!D41</f>
        <v>1.5900000000000001E-2</v>
      </c>
      <c r="E41" s="1">
        <f t="shared" si="0"/>
        <v>1.7846244709124912E-2</v>
      </c>
      <c r="F41" s="24">
        <f t="shared" si="1"/>
        <v>2.8375529087508802E-4</v>
      </c>
      <c r="G41" s="1" t="str">
        <f t="shared" si="2"/>
        <v>Up to $10</v>
      </c>
      <c r="H41" s="1">
        <f t="shared" si="3"/>
        <v>90</v>
      </c>
      <c r="I41" s="1" t="str">
        <f t="shared" si="4"/>
        <v/>
      </c>
    </row>
    <row r="42" spans="1:9" hidden="1">
      <c r="A42" s="1" t="str">
        <f>'Cleaned Data'!A42</f>
        <v>Usual</v>
      </c>
      <c r="B42" s="1" t="str">
        <f>'Cleaned Data'!B42</f>
        <v>USUAL</v>
      </c>
      <c r="C42" s="24">
        <f>'Cleaned Data'!C42</f>
        <v>7.1980000000000002E-2</v>
      </c>
      <c r="D42" s="3">
        <f>'Cleaned Data'!D42</f>
        <v>1.1399999999999999E-2</v>
      </c>
      <c r="E42" s="1">
        <f t="shared" si="0"/>
        <v>7.1168677081273474E-2</v>
      </c>
      <c r="F42" s="24">
        <f t="shared" si="1"/>
        <v>8.1132291872652862E-4</v>
      </c>
      <c r="G42" s="1" t="str">
        <f t="shared" si="2"/>
        <v>Up to $10</v>
      </c>
      <c r="H42" s="1">
        <f t="shared" si="3"/>
        <v>57</v>
      </c>
      <c r="I42" s="1" t="str">
        <f t="shared" si="4"/>
        <v/>
      </c>
    </row>
    <row r="43" spans="1:9" hidden="1">
      <c r="A43" s="1" t="str">
        <f>'Cleaned Data'!A43</f>
        <v>Arcblock</v>
      </c>
      <c r="B43" s="1" t="str">
        <f>'Cleaned Data'!B43</f>
        <v>ABT</v>
      </c>
      <c r="C43" s="24">
        <f>'Cleaned Data'!C43</f>
        <v>0.73740000000000006</v>
      </c>
      <c r="D43" s="3">
        <f>'Cleaned Data'!D43</f>
        <v>6.8999999999999999E-3</v>
      </c>
      <c r="E43" s="1">
        <f t="shared" si="0"/>
        <v>0.73234680703148292</v>
      </c>
      <c r="F43" s="24">
        <f t="shared" si="1"/>
        <v>5.0531929685171395E-3</v>
      </c>
      <c r="G43" s="1" t="str">
        <f t="shared" si="2"/>
        <v>Up to $10</v>
      </c>
      <c r="H43" s="1">
        <f t="shared" si="3"/>
        <v>22</v>
      </c>
      <c r="I43" s="1" t="str">
        <f t="shared" si="4"/>
        <v/>
      </c>
    </row>
    <row r="44" spans="1:9" hidden="1">
      <c r="A44" s="1" t="str">
        <f>'Cleaned Data'!A44</f>
        <v>Memecoin</v>
      </c>
      <c r="B44" s="1" t="str">
        <f>'Cleaned Data'!B44</f>
        <v>MEME</v>
      </c>
      <c r="C44" s="24">
        <f>'Cleaned Data'!C44</f>
        <v>1.5169999999999999E-3</v>
      </c>
      <c r="D44" s="3">
        <f>'Cleaned Data'!D44</f>
        <v>1.8799999999999997E-2</v>
      </c>
      <c r="E44" s="1">
        <f t="shared" si="0"/>
        <v>1.4890066745190419E-3</v>
      </c>
      <c r="F44" s="24">
        <f t="shared" si="1"/>
        <v>2.7993325480957969E-5</v>
      </c>
      <c r="G44" s="1" t="str">
        <f t="shared" si="2"/>
        <v>Up to $10</v>
      </c>
      <c r="H44" s="1">
        <f t="shared" si="3"/>
        <v>134</v>
      </c>
      <c r="I44" s="1" t="str">
        <f t="shared" si="4"/>
        <v/>
      </c>
    </row>
    <row r="45" spans="1:9" hidden="1">
      <c r="A45" s="1" t="str">
        <f>'Cleaned Data'!A45</f>
        <v>MiL.k</v>
      </c>
      <c r="B45" s="1" t="str">
        <f>'Cleaned Data'!B45</f>
        <v>MLK</v>
      </c>
      <c r="C45" s="24">
        <f>'Cleaned Data'!C45</f>
        <v>0.15379999999999999</v>
      </c>
      <c r="D45" s="3">
        <f>'Cleaned Data'!D45</f>
        <v>1.4000000000000002E-3</v>
      </c>
      <c r="E45" s="1">
        <f t="shared" si="0"/>
        <v>0.15358498102656279</v>
      </c>
      <c r="F45" s="24">
        <f t="shared" si="1"/>
        <v>2.1501897343720322E-4</v>
      </c>
      <c r="G45" s="1" t="str">
        <f t="shared" si="2"/>
        <v>Up to $10</v>
      </c>
      <c r="H45" s="1">
        <f t="shared" si="3"/>
        <v>92</v>
      </c>
      <c r="I45" s="1" t="str">
        <f t="shared" si="4"/>
        <v/>
      </c>
    </row>
    <row r="46" spans="1:9" hidden="1">
      <c r="A46" s="1" t="str">
        <f>'Cleaned Data'!A46</f>
        <v>dKargo</v>
      </c>
      <c r="B46" s="1" t="str">
        <f>'Cleaned Data'!B46</f>
        <v>DKA</v>
      </c>
      <c r="C46" s="24">
        <f>'Cleaned Data'!C46</f>
        <v>1.5440000000000001E-2</v>
      </c>
      <c r="D46" s="3">
        <f>'Cleaned Data'!D46</f>
        <v>1.7000000000000001E-3</v>
      </c>
      <c r="E46" s="1">
        <f t="shared" si="0"/>
        <v>1.5413796545872018E-2</v>
      </c>
      <c r="F46" s="24">
        <f t="shared" si="1"/>
        <v>2.6203454127982431E-5</v>
      </c>
      <c r="G46" s="1" t="str">
        <f t="shared" si="2"/>
        <v>Up to $10</v>
      </c>
      <c r="H46" s="1">
        <f t="shared" si="3"/>
        <v>136</v>
      </c>
      <c r="I46" s="1" t="str">
        <f t="shared" si="4"/>
        <v/>
      </c>
    </row>
    <row r="47" spans="1:9" hidden="1">
      <c r="A47" s="1" t="str">
        <f>'Cleaned Data'!A47</f>
        <v>AI Companions</v>
      </c>
      <c r="B47" s="1" t="str">
        <f>'Cleaned Data'!B47</f>
        <v>AIC</v>
      </c>
      <c r="C47" s="24">
        <f>'Cleaned Data'!C47</f>
        <v>9.5740000000000006E-2</v>
      </c>
      <c r="D47" s="3">
        <f>'Cleaned Data'!D47</f>
        <v>1.09E-2</v>
      </c>
      <c r="E47" s="1">
        <f t="shared" si="0"/>
        <v>9.470768622019983E-2</v>
      </c>
      <c r="F47" s="24">
        <f t="shared" si="1"/>
        <v>1.0323137798001758E-3</v>
      </c>
      <c r="G47" s="1" t="str">
        <f t="shared" si="2"/>
        <v>Up to $10</v>
      </c>
      <c r="H47" s="1">
        <f t="shared" si="3"/>
        <v>48</v>
      </c>
      <c r="I47" s="1" t="str">
        <f t="shared" si="4"/>
        <v/>
      </c>
    </row>
    <row r="48" spans="1:9" hidden="1">
      <c r="A48" s="1" t="str">
        <f>'Cleaned Data'!A48</f>
        <v>Degen</v>
      </c>
      <c r="B48" s="1" t="str">
        <f>'Cleaned Data'!B48</f>
        <v>DEGEN</v>
      </c>
      <c r="C48" s="24">
        <f>'Cleaned Data'!C48</f>
        <v>3.2290000000000001E-3</v>
      </c>
      <c r="D48" s="3">
        <f>'Cleaned Data'!D48</f>
        <v>3.4200000000000001E-2</v>
      </c>
      <c r="E48" s="1">
        <f t="shared" si="0"/>
        <v>3.1222200734867529E-3</v>
      </c>
      <c r="F48" s="24">
        <f t="shared" si="1"/>
        <v>1.0677992651324719E-4</v>
      </c>
      <c r="G48" s="1" t="str">
        <f t="shared" si="2"/>
        <v>Up to $10</v>
      </c>
      <c r="H48" s="1">
        <f t="shared" si="3"/>
        <v>106</v>
      </c>
      <c r="I48" s="1" t="str">
        <f t="shared" si="4"/>
        <v/>
      </c>
    </row>
    <row r="49" spans="1:9" hidden="1">
      <c r="A49" s="1" t="str">
        <f>'Cleaned Data'!A49</f>
        <v>Aevo</v>
      </c>
      <c r="B49" s="1" t="str">
        <f>'Cleaned Data'!B49</f>
        <v>AEVO</v>
      </c>
      <c r="C49" s="24">
        <f>'Cleaned Data'!C49</f>
        <v>7.8759999999999997E-2</v>
      </c>
      <c r="D49" s="3">
        <f>'Cleaned Data'!D49</f>
        <v>1.61E-2</v>
      </c>
      <c r="E49" s="1">
        <f t="shared" si="0"/>
        <v>7.7512055900009841E-2</v>
      </c>
      <c r="F49" s="24">
        <f t="shared" si="1"/>
        <v>1.2479440999901559E-3</v>
      </c>
      <c r="G49" s="1" t="str">
        <f t="shared" si="2"/>
        <v>Up to $10</v>
      </c>
      <c r="H49" s="1">
        <f t="shared" si="3"/>
        <v>45</v>
      </c>
      <c r="I49" s="1" t="str">
        <f t="shared" si="4"/>
        <v/>
      </c>
    </row>
    <row r="50" spans="1:9" hidden="1">
      <c r="A50" s="1" t="str">
        <f>'Cleaned Data'!A50</f>
        <v>Spark</v>
      </c>
      <c r="B50" s="1" t="str">
        <f>'Cleaned Data'!B50</f>
        <v>SPK</v>
      </c>
      <c r="C50" s="24">
        <f>'Cleaned Data'!C50</f>
        <v>4.2049999999999997E-2</v>
      </c>
      <c r="D50" s="3">
        <f>'Cleaned Data'!D50</f>
        <v>2.4399999999999998E-2</v>
      </c>
      <c r="E50" s="1">
        <f t="shared" si="0"/>
        <v>4.1048418586489652E-2</v>
      </c>
      <c r="F50" s="24">
        <f t="shared" si="1"/>
        <v>1.0015814135103454E-3</v>
      </c>
      <c r="G50" s="1" t="str">
        <f t="shared" si="2"/>
        <v>Up to $10</v>
      </c>
      <c r="H50" s="1">
        <f t="shared" si="3"/>
        <v>49</v>
      </c>
      <c r="I50" s="1" t="str">
        <f t="shared" si="4"/>
        <v/>
      </c>
    </row>
    <row r="51" spans="1:9" hidden="1">
      <c r="A51" s="1" t="str">
        <f>'Cleaned Data'!A51</f>
        <v>Global Commercial Business</v>
      </c>
      <c r="B51" s="1" t="str">
        <f>'Cleaned Data'!B51</f>
        <v>GCB</v>
      </c>
      <c r="C51" s="24">
        <f>'Cleaned Data'!C51</f>
        <v>5.9470000000000002E-2</v>
      </c>
      <c r="D51" s="3">
        <f>'Cleaned Data'!D51</f>
        <v>2.0000000000000001E-4</v>
      </c>
      <c r="E51" s="1">
        <f t="shared" si="0"/>
        <v>5.945810837832434E-2</v>
      </c>
      <c r="F51" s="24">
        <f t="shared" si="1"/>
        <v>1.1891621675662323E-5</v>
      </c>
      <c r="G51" s="1" t="str">
        <f t="shared" si="2"/>
        <v>Up to $10</v>
      </c>
      <c r="H51" s="1">
        <f t="shared" si="3"/>
        <v>153</v>
      </c>
      <c r="I51" s="1" t="str">
        <f t="shared" si="4"/>
        <v/>
      </c>
    </row>
    <row r="52" spans="1:9" hidden="1">
      <c r="A52" s="1" t="str">
        <f>'Cleaned Data'!A52</f>
        <v>NEM</v>
      </c>
      <c r="B52" s="1" t="str">
        <f>'Cleaned Data'!B52</f>
        <v>XEM</v>
      </c>
      <c r="C52" s="24">
        <f>'Cleaned Data'!C52</f>
        <v>6.2719999999999998E-3</v>
      </c>
      <c r="D52" s="3">
        <f>'Cleaned Data'!D52</f>
        <v>5.3E-3</v>
      </c>
      <c r="E52" s="1">
        <f t="shared" si="0"/>
        <v>6.2389336516462737E-3</v>
      </c>
      <c r="F52" s="24">
        <f t="shared" si="1"/>
        <v>3.3066348353726072E-5</v>
      </c>
      <c r="G52" s="1" t="str">
        <f t="shared" si="2"/>
        <v>Up to $10</v>
      </c>
      <c r="H52" s="1">
        <f t="shared" si="3"/>
        <v>130</v>
      </c>
      <c r="I52" s="1" t="str">
        <f t="shared" si="4"/>
        <v/>
      </c>
    </row>
    <row r="53" spans="1:9" hidden="1">
      <c r="A53" s="1" t="str">
        <f>'Cleaned Data'!A53</f>
        <v>Humans.ai</v>
      </c>
      <c r="B53" s="1" t="str">
        <f>'Cleaned Data'!B53</f>
        <v>HEART</v>
      </c>
      <c r="C53" s="24">
        <f>'Cleaned Data'!C53</f>
        <v>6.6350000000000003E-3</v>
      </c>
      <c r="D53" s="3">
        <f>'Cleaned Data'!D53</f>
        <v>1.32E-2</v>
      </c>
      <c r="E53" s="1">
        <f t="shared" si="0"/>
        <v>6.548559020923805E-3</v>
      </c>
      <c r="F53" s="24">
        <f t="shared" si="1"/>
        <v>8.6440979076195246E-5</v>
      </c>
      <c r="G53" s="1" t="str">
        <f t="shared" si="2"/>
        <v>Up to $10</v>
      </c>
      <c r="H53" s="1">
        <f t="shared" si="3"/>
        <v>113</v>
      </c>
      <c r="I53" s="1" t="str">
        <f t="shared" si="4"/>
        <v/>
      </c>
    </row>
    <row r="54" spans="1:9" hidden="1">
      <c r="A54" s="1" t="str">
        <f>'Cleaned Data'!A54</f>
        <v>Oasys</v>
      </c>
      <c r="B54" s="1" t="str">
        <f>'Cleaned Data'!B54</f>
        <v>OAS</v>
      </c>
      <c r="C54" s="24">
        <f>'Cleaned Data'!C54</f>
        <v>1.1769999999999999E-2</v>
      </c>
      <c r="D54" s="3">
        <f>'Cleaned Data'!D54</f>
        <v>1.8E-3</v>
      </c>
      <c r="E54" s="1">
        <f t="shared" si="0"/>
        <v>1.1748852066280693E-2</v>
      </c>
      <c r="F54" s="24">
        <f t="shared" si="1"/>
        <v>2.1147933719305873E-5</v>
      </c>
      <c r="G54" s="1" t="str">
        <f t="shared" si="2"/>
        <v>Up to $10</v>
      </c>
      <c r="H54" s="1">
        <f t="shared" si="3"/>
        <v>140</v>
      </c>
      <c r="I54" s="1" t="str">
        <f t="shared" si="4"/>
        <v/>
      </c>
    </row>
    <row r="55" spans="1:9" hidden="1">
      <c r="A55" s="1" t="str">
        <f>'Cleaned Data'!A55</f>
        <v>Smooth Love Potion</v>
      </c>
      <c r="B55" s="1" t="str">
        <f>'Cleaned Data'!B55</f>
        <v>SLP</v>
      </c>
      <c r="C55" s="24">
        <f>'Cleaned Data'!C55</f>
        <v>1.253E-3</v>
      </c>
      <c r="D55" s="3">
        <f>'Cleaned Data'!D55</f>
        <v>1.5300000000000001E-2</v>
      </c>
      <c r="E55" s="1">
        <f t="shared" si="0"/>
        <v>1.2341179946813749E-3</v>
      </c>
      <c r="F55" s="24">
        <f t="shared" si="1"/>
        <v>1.8882005318625111E-5</v>
      </c>
      <c r="G55" s="1" t="str">
        <f t="shared" si="2"/>
        <v>Up to $10</v>
      </c>
      <c r="H55" s="1">
        <f t="shared" si="3"/>
        <v>145</v>
      </c>
      <c r="I55" s="1" t="str">
        <f t="shared" si="4"/>
        <v/>
      </c>
    </row>
    <row r="56" spans="1:9" hidden="1">
      <c r="A56" s="1" t="str">
        <f>'Cleaned Data'!A56</f>
        <v>Neutron</v>
      </c>
      <c r="B56" s="1" t="str">
        <f>'Cleaned Data'!B56</f>
        <v>NTRN</v>
      </c>
      <c r="C56" s="24">
        <f>'Cleaned Data'!C56</f>
        <v>8.6260000000000003E-2</v>
      </c>
      <c r="D56" s="3">
        <f>'Cleaned Data'!D56</f>
        <v>9.1999999999999998E-3</v>
      </c>
      <c r="E56" s="1">
        <f t="shared" si="0"/>
        <v>8.5473642489100277E-2</v>
      </c>
      <c r="F56" s="24">
        <f t="shared" si="1"/>
        <v>7.8635751089972672E-4</v>
      </c>
      <c r="G56" s="1" t="str">
        <f t="shared" si="2"/>
        <v>Up to $10</v>
      </c>
      <c r="H56" s="1">
        <f t="shared" si="3"/>
        <v>59</v>
      </c>
      <c r="I56" s="1" t="str">
        <f t="shared" si="4"/>
        <v/>
      </c>
    </row>
    <row r="57" spans="1:9" hidden="1">
      <c r="A57" s="1" t="str">
        <f>'Cleaned Data'!A57</f>
        <v>Eurite</v>
      </c>
      <c r="B57" s="1" t="str">
        <f>'Cleaned Data'!B57</f>
        <v>EURI</v>
      </c>
      <c r="C57" s="24">
        <f>'Cleaned Data'!C57</f>
        <v>1.1499999999999999</v>
      </c>
      <c r="D57" s="3">
        <f>'Cleaned Data'!D57</f>
        <v>7.000000000000001E-4</v>
      </c>
      <c r="E57" s="1">
        <f t="shared" si="0"/>
        <v>1.1491955631058259</v>
      </c>
      <c r="F57" s="24">
        <f t="shared" si="1"/>
        <v>8.0443689417397657E-4</v>
      </c>
      <c r="G57" s="1" t="str">
        <f t="shared" si="2"/>
        <v>Up to $10</v>
      </c>
      <c r="H57" s="1">
        <f t="shared" si="3"/>
        <v>58</v>
      </c>
      <c r="I57" s="1" t="str">
        <f t="shared" si="4"/>
        <v/>
      </c>
    </row>
    <row r="58" spans="1:9" hidden="1">
      <c r="A58" s="1" t="str">
        <f>'Cleaned Data'!A58</f>
        <v>ANDY (ETH)</v>
      </c>
      <c r="B58" s="1" t="str">
        <f>'Cleaned Data'!B58</f>
        <v>ANDY</v>
      </c>
      <c r="C58" s="24">
        <f>'Cleaned Data'!C58</f>
        <v>5.1249999999999999E-5</v>
      </c>
      <c r="D58" s="3">
        <f>'Cleaned Data'!D58</f>
        <v>5.6999999999999993E-3</v>
      </c>
      <c r="E58" s="1">
        <f t="shared" si="0"/>
        <v>5.0959530675151633E-5</v>
      </c>
      <c r="F58" s="24">
        <f t="shared" si="1"/>
        <v>2.9046932484836545E-7</v>
      </c>
      <c r="G58" s="1" t="str">
        <f t="shared" si="2"/>
        <v>Up to $10</v>
      </c>
      <c r="H58" s="1">
        <f t="shared" si="3"/>
        <v>185</v>
      </c>
      <c r="I58" s="1" t="str">
        <f t="shared" si="4"/>
        <v/>
      </c>
    </row>
    <row r="59" spans="1:9" hidden="1">
      <c r="A59" s="1" t="str">
        <f>'Cleaned Data'!A59</f>
        <v>GameBuild</v>
      </c>
      <c r="B59" s="1" t="str">
        <f>'Cleaned Data'!B59</f>
        <v>GAME</v>
      </c>
      <c r="C59" s="24">
        <f>'Cleaned Data'!C59</f>
        <v>2.875E-3</v>
      </c>
      <c r="D59" s="3">
        <f>'Cleaned Data'!D59</f>
        <v>4.5000000000000005E-3</v>
      </c>
      <c r="E59" s="1">
        <f t="shared" si="0"/>
        <v>2.8621204579392734E-3</v>
      </c>
      <c r="F59" s="24">
        <f t="shared" si="1"/>
        <v>1.2879542060726529E-5</v>
      </c>
      <c r="G59" s="1" t="str">
        <f t="shared" si="2"/>
        <v>Up to $10</v>
      </c>
      <c r="H59" s="1">
        <f t="shared" si="3"/>
        <v>151</v>
      </c>
      <c r="I59" s="1" t="str">
        <f t="shared" si="4"/>
        <v/>
      </c>
    </row>
    <row r="60" spans="1:9" hidden="1">
      <c r="A60" s="1" t="str">
        <f>'Cleaned Data'!A60</f>
        <v>Tornado Cash</v>
      </c>
      <c r="B60" s="1" t="str">
        <f>'Cleaned Data'!B60</f>
        <v>TORN</v>
      </c>
      <c r="C60" s="24">
        <f>'Cleaned Data'!C60</f>
        <v>9.67</v>
      </c>
      <c r="D60" s="3">
        <f>'Cleaned Data'!D60</f>
        <v>1E-3</v>
      </c>
      <c r="E60" s="1">
        <f t="shared" si="0"/>
        <v>9.6603396603396607</v>
      </c>
      <c r="F60" s="24">
        <f t="shared" si="1"/>
        <v>9.66033966033919E-3</v>
      </c>
      <c r="G60" s="1" t="str">
        <f t="shared" si="2"/>
        <v>Up to $10</v>
      </c>
      <c r="H60" s="1">
        <f t="shared" si="3"/>
        <v>15</v>
      </c>
      <c r="I60" s="1" t="str">
        <f t="shared" si="4"/>
        <v/>
      </c>
    </row>
    <row r="61" spans="1:9">
      <c r="A61" s="1" t="str">
        <f>'Cleaned Data'!A61</f>
        <v>DeFi Pulse Index</v>
      </c>
      <c r="B61" s="1" t="str">
        <f>'Cleaned Data'!B61</f>
        <v>DPI</v>
      </c>
      <c r="C61" s="24">
        <f>'Cleaned Data'!C61</f>
        <v>90.45</v>
      </c>
      <c r="D61" s="3">
        <f>'Cleaned Data'!D61</f>
        <v>2.8199999999999999E-2</v>
      </c>
      <c r="E61" s="1">
        <f t="shared" si="0"/>
        <v>87.969266679634316</v>
      </c>
      <c r="F61" s="24">
        <f t="shared" si="1"/>
        <v>2.4807333203656867</v>
      </c>
      <c r="G61" s="1" t="str">
        <f t="shared" si="2"/>
        <v>Greater than or equal to $10</v>
      </c>
      <c r="H61" s="1">
        <f t="shared" si="3"/>
        <v>3</v>
      </c>
      <c r="I61" s="1" t="str">
        <f t="shared" si="4"/>
        <v>Top 10</v>
      </c>
    </row>
    <row r="62" spans="1:9" hidden="1">
      <c r="A62" s="1" t="str">
        <f>'Cleaned Data'!A62</f>
        <v>Kujira</v>
      </c>
      <c r="B62" s="1" t="str">
        <f>'Cleaned Data'!B62</f>
        <v>KUJI</v>
      </c>
      <c r="C62" s="24">
        <f>'Cleaned Data'!C62</f>
        <v>0.30309999999999998</v>
      </c>
      <c r="D62" s="3">
        <f>'Cleaned Data'!D62</f>
        <v>1.7299999999999999E-2</v>
      </c>
      <c r="E62" s="1">
        <f t="shared" si="0"/>
        <v>0.29794554212130142</v>
      </c>
      <c r="F62" s="24">
        <f t="shared" si="1"/>
        <v>5.1544578786985595E-3</v>
      </c>
      <c r="G62" s="1" t="str">
        <f t="shared" si="2"/>
        <v>Up to $10</v>
      </c>
      <c r="H62" s="1">
        <f t="shared" si="3"/>
        <v>21</v>
      </c>
      <c r="I62" s="1" t="str">
        <f t="shared" si="4"/>
        <v/>
      </c>
    </row>
    <row r="63" spans="1:9" hidden="1">
      <c r="A63" s="1" t="str">
        <f>'Cleaned Data'!A63</f>
        <v>Gains Network</v>
      </c>
      <c r="B63" s="1" t="str">
        <f>'Cleaned Data'!B63</f>
        <v>GNS</v>
      </c>
      <c r="C63" s="24">
        <f>'Cleaned Data'!C63</f>
        <v>1.26</v>
      </c>
      <c r="D63" s="3">
        <f>'Cleaned Data'!D63</f>
        <v>3.0999999999999999E-3</v>
      </c>
      <c r="E63" s="1">
        <f t="shared" si="0"/>
        <v>1.2561060711793439</v>
      </c>
      <c r="F63" s="24">
        <f t="shared" si="1"/>
        <v>3.8939288206560896E-3</v>
      </c>
      <c r="G63" s="1" t="str">
        <f t="shared" si="2"/>
        <v>Up to $10</v>
      </c>
      <c r="H63" s="1">
        <f t="shared" si="3"/>
        <v>24</v>
      </c>
      <c r="I63" s="1" t="str">
        <f t="shared" si="4"/>
        <v/>
      </c>
    </row>
    <row r="64" spans="1:9" hidden="1">
      <c r="A64" s="1" t="str">
        <f>'Cleaned Data'!A64</f>
        <v>AVA (Travala)</v>
      </c>
      <c r="B64" s="1" t="str">
        <f>'Cleaned Data'!B64</f>
        <v>AVA</v>
      </c>
      <c r="C64" s="24">
        <f>'Cleaned Data'!C64</f>
        <v>0.53610000000000002</v>
      </c>
      <c r="D64" s="3">
        <f>'Cleaned Data'!D64</f>
        <v>4.8999999999999998E-3</v>
      </c>
      <c r="E64" s="1">
        <f t="shared" si="0"/>
        <v>0.53348591899691522</v>
      </c>
      <c r="F64" s="24">
        <f t="shared" si="1"/>
        <v>2.6140810030848005E-3</v>
      </c>
      <c r="G64" s="1" t="str">
        <f t="shared" si="2"/>
        <v>Up to $10</v>
      </c>
      <c r="H64" s="1">
        <f t="shared" si="3"/>
        <v>31</v>
      </c>
      <c r="I64" s="1" t="str">
        <f t="shared" si="4"/>
        <v/>
      </c>
    </row>
    <row r="65" spans="1:9" hidden="1">
      <c r="A65" s="1" t="str">
        <f>'Cleaned Data'!A65</f>
        <v>DEAPcoin</v>
      </c>
      <c r="B65" s="1" t="str">
        <f>'Cleaned Data'!B65</f>
        <v>DEP</v>
      </c>
      <c r="C65" s="24">
        <f>'Cleaned Data'!C65</f>
        <v>1.245E-3</v>
      </c>
      <c r="D65" s="3">
        <f>'Cleaned Data'!D65</f>
        <v>2.5000000000000001E-3</v>
      </c>
      <c r="E65" s="1">
        <f t="shared" si="0"/>
        <v>1.2418952618453865E-3</v>
      </c>
      <c r="F65" s="24">
        <f t="shared" si="1"/>
        <v>3.1047381546134723E-6</v>
      </c>
      <c r="G65" s="1" t="str">
        <f t="shared" si="2"/>
        <v>Up to $10</v>
      </c>
      <c r="H65" s="1">
        <f t="shared" si="3"/>
        <v>173</v>
      </c>
      <c r="I65" s="1" t="str">
        <f t="shared" si="4"/>
        <v/>
      </c>
    </row>
    <row r="66" spans="1:9" hidden="1">
      <c r="A66" s="1" t="str">
        <f>'Cleaned Data'!A66</f>
        <v>The Arena</v>
      </c>
      <c r="B66" s="1" t="str">
        <f>'Cleaned Data'!B66</f>
        <v>ARENA</v>
      </c>
      <c r="C66" s="24">
        <f>'Cleaned Data'!C66</f>
        <v>1.4970000000000001E-2</v>
      </c>
      <c r="D66" s="3">
        <f>'Cleaned Data'!D66</f>
        <v>4.0000000000000002E-4</v>
      </c>
      <c r="E66" s="1">
        <f t="shared" si="0"/>
        <v>1.4964014394242305E-2</v>
      </c>
      <c r="F66" s="24">
        <f t="shared" si="1"/>
        <v>5.9856057576957583E-6</v>
      </c>
      <c r="G66" s="1" t="str">
        <f t="shared" si="2"/>
        <v>Up to $10</v>
      </c>
      <c r="H66" s="1">
        <f t="shared" si="3"/>
        <v>164</v>
      </c>
      <c r="I66" s="1" t="str">
        <f t="shared" si="4"/>
        <v/>
      </c>
    </row>
    <row r="67" spans="1:9" hidden="1">
      <c r="A67" s="1" t="str">
        <f>'Cleaned Data'!A67</f>
        <v>Dohrnii</v>
      </c>
      <c r="B67" s="1" t="str">
        <f>'Cleaned Data'!B67</f>
        <v>DHN</v>
      </c>
      <c r="C67" s="24">
        <f>'Cleaned Data'!C67</f>
        <v>2.13</v>
      </c>
      <c r="D67" s="3">
        <f>'Cleaned Data'!D67</f>
        <v>5.0000000000000001E-4</v>
      </c>
      <c r="E67" s="1">
        <f t="shared" ref="E67:E130" si="8">C67/(1+D67)</f>
        <v>2.128935532233883</v>
      </c>
      <c r="F67" s="24">
        <f t="shared" ref="F67:F130" si="9">C67-E67</f>
        <v>1.0644677661169055E-3</v>
      </c>
      <c r="G67" s="1" t="str">
        <f t="shared" ref="G67:G130" si="10">IF(C67&lt;=10,"Up to $10","Greater than or equal to $10")</f>
        <v>Up to $10</v>
      </c>
      <c r="H67" s="1">
        <f t="shared" ref="H67:H130" si="11">_xlfn.RANK.EQ(F67,$F$2:$F$201,0)</f>
        <v>47</v>
      </c>
      <c r="I67" s="1" t="str">
        <f t="shared" ref="I67:I130" si="12">IF(H67&lt;=10,"Top 10","")</f>
        <v/>
      </c>
    </row>
    <row r="68" spans="1:9" hidden="1">
      <c r="A68" s="1" t="str">
        <f>'Cleaned Data'!A68</f>
        <v>Ampleforth Governance Token</v>
      </c>
      <c r="B68" s="1" t="str">
        <f>'Cleaned Data'!B68</f>
        <v>FORTH</v>
      </c>
      <c r="C68" s="24">
        <f>'Cleaned Data'!C68</f>
        <v>2.5299999999999998</v>
      </c>
      <c r="D68" s="3">
        <f>'Cleaned Data'!D68</f>
        <v>4.4000000000000003E-3</v>
      </c>
      <c r="E68" s="1">
        <f t="shared" si="8"/>
        <v>2.5189167662285943</v>
      </c>
      <c r="F68" s="24">
        <f t="shared" si="9"/>
        <v>1.1083233771405521E-2</v>
      </c>
      <c r="G68" s="1" t="str">
        <f t="shared" si="10"/>
        <v>Up to $10</v>
      </c>
      <c r="H68" s="1">
        <f t="shared" si="11"/>
        <v>14</v>
      </c>
      <c r="I68" s="1" t="str">
        <f t="shared" si="12"/>
        <v/>
      </c>
    </row>
    <row r="69" spans="1:9" hidden="1">
      <c r="A69" s="1" t="str">
        <f>'Cleaned Data'!A69</f>
        <v>Metadium</v>
      </c>
      <c r="B69" s="1" t="str">
        <f>'Cleaned Data'!B69</f>
        <v>META</v>
      </c>
      <c r="C69" s="24">
        <f>'Cleaned Data'!C69</f>
        <v>2.1000000000000001E-2</v>
      </c>
      <c r="D69" s="3">
        <f>'Cleaned Data'!D69</f>
        <v>8.0000000000000004E-4</v>
      </c>
      <c r="E69" s="1">
        <f t="shared" si="8"/>
        <v>2.09832134292566E-2</v>
      </c>
      <c r="F69" s="24">
        <f t="shared" si="9"/>
        <v>1.678657074340173E-5</v>
      </c>
      <c r="G69" s="1" t="str">
        <f t="shared" si="10"/>
        <v>Up to $10</v>
      </c>
      <c r="H69" s="1">
        <f t="shared" si="11"/>
        <v>148</v>
      </c>
      <c r="I69" s="1" t="str">
        <f t="shared" si="12"/>
        <v/>
      </c>
    </row>
    <row r="70" spans="1:9" hidden="1">
      <c r="A70" s="1" t="str">
        <f>'Cleaned Data'!A70</f>
        <v>Shentu</v>
      </c>
      <c r="B70" s="1" t="str">
        <f>'Cleaned Data'!B70</f>
        <v>CTK</v>
      </c>
      <c r="C70" s="24">
        <f>'Cleaned Data'!C70</f>
        <v>0.2442</v>
      </c>
      <c r="D70" s="3">
        <f>'Cleaned Data'!D70</f>
        <v>3.2000000000000002E-3</v>
      </c>
      <c r="E70" s="1">
        <f t="shared" si="8"/>
        <v>0.24342105263157893</v>
      </c>
      <c r="F70" s="24">
        <f t="shared" si="9"/>
        <v>7.7894736842107348E-4</v>
      </c>
      <c r="G70" s="1" t="str">
        <f t="shared" si="10"/>
        <v>Up to $10</v>
      </c>
      <c r="H70" s="1">
        <f t="shared" si="11"/>
        <v>61</v>
      </c>
      <c r="I70" s="1" t="str">
        <f t="shared" si="12"/>
        <v/>
      </c>
    </row>
    <row r="71" spans="1:9" hidden="1">
      <c r="A71" s="1" t="str">
        <f>'Cleaned Data'!A71</f>
        <v>Nakamoto Games</v>
      </c>
      <c r="B71" s="1" t="str">
        <f>'Cleaned Data'!B71</f>
        <v>NAKA</v>
      </c>
      <c r="C71" s="24">
        <f>'Cleaned Data'!C71</f>
        <v>0.33879999999999999</v>
      </c>
      <c r="D71" s="3">
        <f>'Cleaned Data'!D71</f>
        <v>6.8999999999999999E-3</v>
      </c>
      <c r="E71" s="1">
        <f t="shared" si="8"/>
        <v>0.33647829973185023</v>
      </c>
      <c r="F71" s="24">
        <f t="shared" si="9"/>
        <v>2.3217002681497623E-3</v>
      </c>
      <c r="G71" s="1" t="str">
        <f t="shared" si="10"/>
        <v>Up to $10</v>
      </c>
      <c r="H71" s="1">
        <f t="shared" si="11"/>
        <v>34</v>
      </c>
      <c r="I71" s="1" t="str">
        <f t="shared" si="12"/>
        <v/>
      </c>
    </row>
    <row r="72" spans="1:9" hidden="1">
      <c r="A72" s="1" t="str">
        <f>'Cleaned Data'!A72</f>
        <v>Groestlcoin</v>
      </c>
      <c r="B72" s="1" t="str">
        <f>'Cleaned Data'!B72</f>
        <v>GRS</v>
      </c>
      <c r="C72" s="24">
        <f>'Cleaned Data'!C72</f>
        <v>0.29930000000000001</v>
      </c>
      <c r="D72" s="3">
        <f>'Cleaned Data'!D72</f>
        <v>1.5E-3</v>
      </c>
      <c r="E72" s="1">
        <f t="shared" si="8"/>
        <v>0.29885172241637542</v>
      </c>
      <c r="F72" s="24">
        <f t="shared" si="9"/>
        <v>4.4827758362459003E-4</v>
      </c>
      <c r="G72" s="1" t="str">
        <f t="shared" si="10"/>
        <v>Up to $10</v>
      </c>
      <c r="H72" s="1">
        <f t="shared" si="11"/>
        <v>73</v>
      </c>
      <c r="I72" s="1" t="str">
        <f t="shared" si="12"/>
        <v/>
      </c>
    </row>
    <row r="73" spans="1:9" hidden="1">
      <c r="A73" s="1" t="str">
        <f>'Cleaned Data'!A73</f>
        <v>Sui Name Service</v>
      </c>
      <c r="B73" s="1" t="str">
        <f>'Cleaned Data'!B73</f>
        <v>NS</v>
      </c>
      <c r="C73" s="24">
        <f>'Cleaned Data'!C73</f>
        <v>0.1401</v>
      </c>
      <c r="D73" s="3">
        <f>'Cleaned Data'!D73</f>
        <v>1.77E-2</v>
      </c>
      <c r="E73" s="1">
        <f t="shared" si="8"/>
        <v>0.13766335855360126</v>
      </c>
      <c r="F73" s="24">
        <f t="shared" si="9"/>
        <v>2.4366414463987407E-3</v>
      </c>
      <c r="G73" s="1" t="str">
        <f t="shared" si="10"/>
        <v>Up to $10</v>
      </c>
      <c r="H73" s="1">
        <f t="shared" si="11"/>
        <v>32</v>
      </c>
      <c r="I73" s="1" t="str">
        <f t="shared" si="12"/>
        <v/>
      </c>
    </row>
    <row r="74" spans="1:9" hidden="1">
      <c r="A74" s="1" t="str">
        <f>'Cleaned Data'!A74</f>
        <v>Haedal Protocol</v>
      </c>
      <c r="B74" s="1" t="str">
        <f>'Cleaned Data'!B74</f>
        <v>HAEDAL</v>
      </c>
      <c r="C74" s="24">
        <f>'Cleaned Data'!C74</f>
        <v>0.12790000000000001</v>
      </c>
      <c r="D74" s="3">
        <f>'Cleaned Data'!D74</f>
        <v>7.6E-3</v>
      </c>
      <c r="E74" s="1">
        <f t="shared" si="8"/>
        <v>0.12693529178245336</v>
      </c>
      <c r="F74" s="24">
        <f t="shared" si="9"/>
        <v>9.6470821754665592E-4</v>
      </c>
      <c r="G74" s="1" t="str">
        <f t="shared" si="10"/>
        <v>Up to $10</v>
      </c>
      <c r="H74" s="1">
        <f t="shared" si="11"/>
        <v>52</v>
      </c>
      <c r="I74" s="1" t="str">
        <f t="shared" si="12"/>
        <v/>
      </c>
    </row>
    <row r="75" spans="1:9" hidden="1">
      <c r="A75" s="1" t="str">
        <f>'Cleaned Data'!A75</f>
        <v>Fractal Bitcoin</v>
      </c>
      <c r="B75" s="1" t="str">
        <f>'Cleaned Data'!B75</f>
        <v>FB</v>
      </c>
      <c r="C75" s="24">
        <f>'Cleaned Data'!C75</f>
        <v>0.5232</v>
      </c>
      <c r="D75" s="3">
        <f>'Cleaned Data'!D75</f>
        <v>2.1899999999999999E-2</v>
      </c>
      <c r="E75" s="1">
        <f t="shared" si="8"/>
        <v>0.51198747431255498</v>
      </c>
      <c r="F75" s="24">
        <f t="shared" si="9"/>
        <v>1.1212525687445019E-2</v>
      </c>
      <c r="G75" s="1" t="str">
        <f t="shared" si="10"/>
        <v>Up to $10</v>
      </c>
      <c r="H75" s="1">
        <f t="shared" si="11"/>
        <v>13</v>
      </c>
      <c r="I75" s="1" t="str">
        <f t="shared" si="12"/>
        <v/>
      </c>
    </row>
    <row r="76" spans="1:9" hidden="1">
      <c r="A76" s="1" t="str">
        <f>'Cleaned Data'!A76</f>
        <v>PlatON</v>
      </c>
      <c r="B76" s="1" t="str">
        <f>'Cleaned Data'!B76</f>
        <v>LAT</v>
      </c>
      <c r="C76" s="24">
        <f>'Cleaned Data'!C76</f>
        <v>3.9259999999999998E-3</v>
      </c>
      <c r="D76" s="3">
        <f>'Cleaned Data'!D76</f>
        <v>9.3999999999999986E-3</v>
      </c>
      <c r="E76" s="1">
        <f t="shared" si="8"/>
        <v>3.8894392708539722E-3</v>
      </c>
      <c r="F76" s="24">
        <f t="shared" si="9"/>
        <v>3.6560729146027562E-5</v>
      </c>
      <c r="G76" s="1" t="str">
        <f t="shared" si="10"/>
        <v>Up to $10</v>
      </c>
      <c r="H76" s="1">
        <f t="shared" si="11"/>
        <v>129</v>
      </c>
      <c r="I76" s="1" t="str">
        <f t="shared" si="12"/>
        <v/>
      </c>
    </row>
    <row r="77" spans="1:9" hidden="1">
      <c r="A77" s="1" t="str">
        <f>'Cleaned Data'!A77</f>
        <v>NFPrompt</v>
      </c>
      <c r="B77" s="1" t="str">
        <f>'Cleaned Data'!B77</f>
        <v>NFP</v>
      </c>
      <c r="C77" s="24">
        <f>'Cleaned Data'!C77</f>
        <v>5.6509999999999998E-2</v>
      </c>
      <c r="D77" s="3">
        <f>'Cleaned Data'!D77</f>
        <v>1.46E-2</v>
      </c>
      <c r="E77" s="1">
        <f t="shared" si="8"/>
        <v>5.5696826335501673E-2</v>
      </c>
      <c r="F77" s="24">
        <f t="shared" si="9"/>
        <v>8.1317366449832479E-4</v>
      </c>
      <c r="G77" s="1" t="str">
        <f t="shared" si="10"/>
        <v>Up to $10</v>
      </c>
      <c r="H77" s="1">
        <f t="shared" si="11"/>
        <v>56</v>
      </c>
      <c r="I77" s="1" t="str">
        <f t="shared" si="12"/>
        <v/>
      </c>
    </row>
    <row r="78" spans="1:9" hidden="1">
      <c r="A78" s="1" t="str">
        <f>'Cleaned Data'!A78</f>
        <v>Orbiter Finance</v>
      </c>
      <c r="B78" s="1" t="str">
        <f>'Cleaned Data'!B78</f>
        <v>OBT</v>
      </c>
      <c r="C78" s="24">
        <f>'Cleaned Data'!C78</f>
        <v>8.3759999999999998E-3</v>
      </c>
      <c r="D78" s="3">
        <f>'Cleaned Data'!D78</f>
        <v>4.2699999999999995E-2</v>
      </c>
      <c r="E78" s="1">
        <f t="shared" si="8"/>
        <v>8.032991272657523E-3</v>
      </c>
      <c r="F78" s="24">
        <f t="shared" si="9"/>
        <v>3.4300872734247673E-4</v>
      </c>
      <c r="G78" s="1" t="str">
        <f t="shared" si="10"/>
        <v>Up to $10</v>
      </c>
      <c r="H78" s="1">
        <f t="shared" si="11"/>
        <v>81</v>
      </c>
      <c r="I78" s="1" t="str">
        <f t="shared" si="12"/>
        <v/>
      </c>
    </row>
    <row r="79" spans="1:9" hidden="1">
      <c r="A79" s="1" t="str">
        <f>'Cleaned Data'!A79</f>
        <v>Covalent X Token</v>
      </c>
      <c r="B79" s="1" t="str">
        <f>'Cleaned Data'!B79</f>
        <v>CXT</v>
      </c>
      <c r="C79" s="24">
        <f>'Cleaned Data'!C79</f>
        <v>2.6540000000000001E-2</v>
      </c>
      <c r="D79" s="3">
        <f>'Cleaned Data'!D79</f>
        <v>3.3E-3</v>
      </c>
      <c r="E79" s="1">
        <f t="shared" si="8"/>
        <v>2.6452706069969099E-2</v>
      </c>
      <c r="F79" s="24">
        <f t="shared" si="9"/>
        <v>8.729393003090169E-5</v>
      </c>
      <c r="G79" s="1" t="str">
        <f t="shared" si="10"/>
        <v>Up to $10</v>
      </c>
      <c r="H79" s="1">
        <f t="shared" si="11"/>
        <v>112</v>
      </c>
      <c r="I79" s="1" t="str">
        <f t="shared" si="12"/>
        <v/>
      </c>
    </row>
    <row r="80" spans="1:9" hidden="1">
      <c r="A80" s="1" t="str">
        <f>'Cleaned Data'!A80</f>
        <v>OMG Network</v>
      </c>
      <c r="B80" s="1" t="str">
        <f>'Cleaned Data'!B80</f>
        <v>OMG</v>
      </c>
      <c r="C80" s="24">
        <f>'Cleaned Data'!C80</f>
        <v>0.18410000000000001</v>
      </c>
      <c r="D80" s="3">
        <f>'Cleaned Data'!D80</f>
        <v>1.8E-3</v>
      </c>
      <c r="E80" s="1">
        <f t="shared" si="8"/>
        <v>0.18376921541225794</v>
      </c>
      <c r="F80" s="24">
        <f t="shared" si="9"/>
        <v>3.3078458774207786E-4</v>
      </c>
      <c r="G80" s="1" t="str">
        <f t="shared" si="10"/>
        <v>Up to $10</v>
      </c>
      <c r="H80" s="1">
        <f t="shared" si="11"/>
        <v>82</v>
      </c>
      <c r="I80" s="1" t="str">
        <f t="shared" si="12"/>
        <v/>
      </c>
    </row>
    <row r="81" spans="1:9" hidden="1">
      <c r="A81" s="1" t="str">
        <f>'Cleaned Data'!A81</f>
        <v>Radiant Capital</v>
      </c>
      <c r="B81" s="1" t="str">
        <f>'Cleaned Data'!B81</f>
        <v>RDNT</v>
      </c>
      <c r="C81" s="24">
        <f>'Cleaned Data'!C81</f>
        <v>2.085E-2</v>
      </c>
      <c r="D81" s="3">
        <f>'Cleaned Data'!D81</f>
        <v>1.26E-2</v>
      </c>
      <c r="E81" s="1">
        <f t="shared" si="8"/>
        <v>2.0590558957140036E-2</v>
      </c>
      <c r="F81" s="24">
        <f t="shared" si="9"/>
        <v>2.5944104285996472E-4</v>
      </c>
      <c r="G81" s="1" t="str">
        <f t="shared" si="10"/>
        <v>Up to $10</v>
      </c>
      <c r="H81" s="1">
        <f t="shared" si="11"/>
        <v>91</v>
      </c>
      <c r="I81" s="1" t="str">
        <f t="shared" si="12"/>
        <v/>
      </c>
    </row>
    <row r="82" spans="1:9" hidden="1">
      <c r="A82" s="1" t="str">
        <f>'Cleaned Data'!A82</f>
        <v>Klever Coin</v>
      </c>
      <c r="B82" s="1" t="str">
        <f>'Cleaned Data'!B82</f>
        <v>KLV</v>
      </c>
      <c r="C82" s="24">
        <f>'Cleaned Data'!C82</f>
        <v>2.2439999999999999E-3</v>
      </c>
      <c r="D82" s="3">
        <f>'Cleaned Data'!D82</f>
        <v>4.1999999999999997E-3</v>
      </c>
      <c r="E82" s="1">
        <f t="shared" si="8"/>
        <v>2.2346146186018722E-3</v>
      </c>
      <c r="F82" s="24">
        <f t="shared" si="9"/>
        <v>9.3853813981276991E-6</v>
      </c>
      <c r="G82" s="1" t="str">
        <f t="shared" si="10"/>
        <v>Up to $10</v>
      </c>
      <c r="H82" s="1">
        <f t="shared" si="11"/>
        <v>157</v>
      </c>
      <c r="I82" s="1" t="str">
        <f t="shared" si="12"/>
        <v/>
      </c>
    </row>
    <row r="83" spans="1:9" hidden="1">
      <c r="A83" s="1" t="str">
        <f>'Cleaned Data'!A83</f>
        <v>Pups (Bitcoin)</v>
      </c>
      <c r="B83" s="1" t="str">
        <f>'Cleaned Data'!B83</f>
        <v>PUPS</v>
      </c>
      <c r="C83" s="24">
        <f>'Cleaned Data'!C83</f>
        <v>2.0410000000000001E-2</v>
      </c>
      <c r="D83" s="3">
        <f>'Cleaned Data'!D83</f>
        <v>4.24E-2</v>
      </c>
      <c r="E83" s="1">
        <f t="shared" si="8"/>
        <v>1.9579815809669995E-2</v>
      </c>
      <c r="F83" s="24">
        <f t="shared" si="9"/>
        <v>8.301841903300064E-4</v>
      </c>
      <c r="G83" s="1" t="str">
        <f t="shared" si="10"/>
        <v>Up to $10</v>
      </c>
      <c r="H83" s="1">
        <f t="shared" si="11"/>
        <v>54</v>
      </c>
      <c r="I83" s="1" t="str">
        <f t="shared" si="12"/>
        <v/>
      </c>
    </row>
    <row r="84" spans="1:9" hidden="1">
      <c r="A84" s="1" t="str">
        <f>'Cleaned Data'!A84</f>
        <v>NATIX Network</v>
      </c>
      <c r="B84" s="1" t="str">
        <f>'Cleaned Data'!B84</f>
        <v>NATIX</v>
      </c>
      <c r="C84" s="24">
        <f>'Cleaned Data'!C84</f>
        <v>1.2229999999999999E-3</v>
      </c>
      <c r="D84" s="3">
        <f>'Cleaned Data'!D84</f>
        <v>2.0000000000000001E-4</v>
      </c>
      <c r="E84" s="1">
        <f t="shared" si="8"/>
        <v>1.2227554489102179E-3</v>
      </c>
      <c r="F84" s="24">
        <f t="shared" si="9"/>
        <v>2.4455108978203681E-7</v>
      </c>
      <c r="G84" s="1" t="str">
        <f t="shared" si="10"/>
        <v>Up to $10</v>
      </c>
      <c r="H84" s="1">
        <f t="shared" si="11"/>
        <v>186</v>
      </c>
      <c r="I84" s="1" t="str">
        <f t="shared" si="12"/>
        <v/>
      </c>
    </row>
    <row r="85" spans="1:9" hidden="1">
      <c r="A85" s="1" t="str">
        <f>'Cleaned Data'!A85</f>
        <v>ORIGYN</v>
      </c>
      <c r="B85" s="1" t="str">
        <f>'Cleaned Data'!B85</f>
        <v>OGY</v>
      </c>
      <c r="C85" s="24">
        <f>'Cleaned Data'!C85</f>
        <v>2.5230000000000001E-3</v>
      </c>
      <c r="D85" s="3">
        <f>'Cleaned Data'!D85</f>
        <v>1.24E-2</v>
      </c>
      <c r="E85" s="1">
        <f t="shared" si="8"/>
        <v>2.4920979849861716E-3</v>
      </c>
      <c r="F85" s="24">
        <f t="shared" si="9"/>
        <v>3.0902015013828475E-5</v>
      </c>
      <c r="G85" s="1" t="str">
        <f t="shared" si="10"/>
        <v>Up to $10</v>
      </c>
      <c r="H85" s="1">
        <f t="shared" si="11"/>
        <v>133</v>
      </c>
      <c r="I85" s="1" t="str">
        <f t="shared" si="12"/>
        <v/>
      </c>
    </row>
    <row r="86" spans="1:9" hidden="1">
      <c r="A86" s="1" t="str">
        <f>'Cleaned Data'!A86</f>
        <v>Daddy Tate</v>
      </c>
      <c r="B86" s="1" t="str">
        <f>'Cleaned Data'!B86</f>
        <v>DADDY</v>
      </c>
      <c r="C86" s="24">
        <f>'Cleaned Data'!C86</f>
        <v>3.288E-2</v>
      </c>
      <c r="D86" s="3">
        <f>'Cleaned Data'!D86</f>
        <v>1E-4</v>
      </c>
      <c r="E86" s="1">
        <f t="shared" si="8"/>
        <v>3.287671232876712E-2</v>
      </c>
      <c r="F86" s="24">
        <f t="shared" si="9"/>
        <v>3.28767123287943E-6</v>
      </c>
      <c r="G86" s="1" t="str">
        <f t="shared" si="10"/>
        <v>Up to $10</v>
      </c>
      <c r="H86" s="1">
        <f t="shared" si="11"/>
        <v>171</v>
      </c>
      <c r="I86" s="1" t="str">
        <f t="shared" si="12"/>
        <v/>
      </c>
    </row>
    <row r="87" spans="1:9" hidden="1">
      <c r="A87" s="1" t="str">
        <f>'Cleaned Data'!A87</f>
        <v>Impossible Finance Launchpad</v>
      </c>
      <c r="B87" s="1" t="str">
        <f>'Cleaned Data'!B87</f>
        <v>IDIA</v>
      </c>
      <c r="C87" s="24">
        <f>'Cleaned Data'!C87</f>
        <v>2.8809999999999999E-2</v>
      </c>
      <c r="D87" s="3">
        <f>'Cleaned Data'!D87</f>
        <v>2.9999999999999997E-4</v>
      </c>
      <c r="E87" s="1">
        <f t="shared" si="8"/>
        <v>2.8801359592122364E-2</v>
      </c>
      <c r="F87" s="24">
        <f t="shared" si="9"/>
        <v>8.6404078776351756E-6</v>
      </c>
      <c r="G87" s="1" t="str">
        <f t="shared" si="10"/>
        <v>Up to $10</v>
      </c>
      <c r="H87" s="1">
        <f t="shared" si="11"/>
        <v>158</v>
      </c>
      <c r="I87" s="1" t="str">
        <f t="shared" si="12"/>
        <v/>
      </c>
    </row>
    <row r="88" spans="1:9" hidden="1">
      <c r="A88" s="1" t="str">
        <f>'Cleaned Data'!A88</f>
        <v>League of Kingdoms Arena</v>
      </c>
      <c r="B88" s="1" t="str">
        <f>'Cleaned Data'!B88</f>
        <v>LOKA</v>
      </c>
      <c r="C88" s="24">
        <f>'Cleaned Data'!C88</f>
        <v>5.1970000000000002E-2</v>
      </c>
      <c r="D88" s="3">
        <f>'Cleaned Data'!D88</f>
        <v>1.04E-2</v>
      </c>
      <c r="E88" s="1">
        <f t="shared" si="8"/>
        <v>5.1435075217735556E-2</v>
      </c>
      <c r="F88" s="24">
        <f t="shared" si="9"/>
        <v>5.3492478226444679E-4</v>
      </c>
      <c r="G88" s="1" t="str">
        <f t="shared" si="10"/>
        <v>Up to $10</v>
      </c>
      <c r="H88" s="1">
        <f t="shared" si="11"/>
        <v>68</v>
      </c>
      <c r="I88" s="1" t="str">
        <f t="shared" si="12"/>
        <v/>
      </c>
    </row>
    <row r="89" spans="1:9" hidden="1">
      <c r="A89" s="1" t="str">
        <f>'Cleaned Data'!A89</f>
        <v>Mango</v>
      </c>
      <c r="B89" s="1" t="str">
        <f>'Cleaned Data'!B89</f>
        <v>MNGO</v>
      </c>
      <c r="C89" s="24">
        <f>'Cleaned Data'!C89</f>
        <v>1.7489999999999999E-2</v>
      </c>
      <c r="D89" s="3">
        <f>'Cleaned Data'!D89</f>
        <v>5.5000000000000005E-3</v>
      </c>
      <c r="E89" s="1">
        <f t="shared" si="8"/>
        <v>1.7394331178518147E-2</v>
      </c>
      <c r="F89" s="24">
        <f t="shared" si="9"/>
        <v>9.5668821481851435E-5</v>
      </c>
      <c r="G89" s="1" t="str">
        <f t="shared" si="10"/>
        <v>Up to $10</v>
      </c>
      <c r="H89" s="1">
        <f t="shared" si="11"/>
        <v>111</v>
      </c>
      <c r="I89" s="1" t="str">
        <f t="shared" si="12"/>
        <v/>
      </c>
    </row>
    <row r="90" spans="1:9" hidden="1">
      <c r="A90" s="1" t="str">
        <f>'Cleaned Data'!A90</f>
        <v>DAR Open Network</v>
      </c>
      <c r="B90" s="1" t="str">
        <f>'Cleaned Data'!B90</f>
        <v>D</v>
      </c>
      <c r="C90" s="24">
        <f>'Cleaned Data'!C90</f>
        <v>3.0099999999999998E-2</v>
      </c>
      <c r="D90" s="3">
        <f>'Cleaned Data'!D90</f>
        <v>1.5800000000000002E-2</v>
      </c>
      <c r="E90" s="1">
        <f t="shared" si="8"/>
        <v>2.9631817286867489E-2</v>
      </c>
      <c r="F90" s="24">
        <f t="shared" si="9"/>
        <v>4.6818271313250892E-4</v>
      </c>
      <c r="G90" s="1" t="str">
        <f t="shared" si="10"/>
        <v>Up to $10</v>
      </c>
      <c r="H90" s="1">
        <f t="shared" si="11"/>
        <v>72</v>
      </c>
      <c r="I90" s="1" t="str">
        <f t="shared" si="12"/>
        <v/>
      </c>
    </row>
    <row r="91" spans="1:9" hidden="1">
      <c r="A91" s="1" t="str">
        <f>'Cleaned Data'!A91</f>
        <v>Alaya Governance Token</v>
      </c>
      <c r="B91" s="1" t="str">
        <f>'Cleaned Data'!B91</f>
        <v>AGT</v>
      </c>
      <c r="C91" s="24">
        <f>'Cleaned Data'!C91</f>
        <v>1.3899999999999999E-2</v>
      </c>
      <c r="D91" s="3">
        <f>'Cleaned Data'!D91</f>
        <v>5.5000000000000005E-3</v>
      </c>
      <c r="E91" s="1">
        <f t="shared" si="8"/>
        <v>1.3823968175037293E-2</v>
      </c>
      <c r="F91" s="24">
        <f t="shared" si="9"/>
        <v>7.6031824962706496E-5</v>
      </c>
      <c r="G91" s="1" t="str">
        <f t="shared" si="10"/>
        <v>Up to $10</v>
      </c>
      <c r="H91" s="1">
        <f t="shared" si="11"/>
        <v>118</v>
      </c>
      <c r="I91" s="1" t="str">
        <f t="shared" si="12"/>
        <v/>
      </c>
    </row>
    <row r="92" spans="1:9" hidden="1">
      <c r="A92" s="1" t="str">
        <f>'Cleaned Data'!A92</f>
        <v>Port3 Network</v>
      </c>
      <c r="B92" s="1" t="str">
        <f>'Cleaned Data'!B92</f>
        <v>PORT3</v>
      </c>
      <c r="C92" s="24">
        <f>'Cleaned Data'!C92</f>
        <v>4.41E-2</v>
      </c>
      <c r="D92" s="3">
        <f>'Cleaned Data'!D92</f>
        <v>9.5999999999999992E-3</v>
      </c>
      <c r="E92" s="1">
        <f t="shared" si="8"/>
        <v>4.3680665610142631E-2</v>
      </c>
      <c r="F92" s="24">
        <f t="shared" si="9"/>
        <v>4.1933438985736898E-4</v>
      </c>
      <c r="G92" s="1" t="str">
        <f t="shared" si="10"/>
        <v>Up to $10</v>
      </c>
      <c r="H92" s="1">
        <f t="shared" si="11"/>
        <v>76</v>
      </c>
      <c r="I92" s="1" t="str">
        <f t="shared" si="12"/>
        <v/>
      </c>
    </row>
    <row r="93" spans="1:9" hidden="1">
      <c r="A93" s="1" t="str">
        <f>'Cleaned Data'!A93</f>
        <v>SIX Token</v>
      </c>
      <c r="B93" s="1" t="str">
        <f>'Cleaned Data'!B93</f>
        <v>SIX</v>
      </c>
      <c r="C93" s="24">
        <f>'Cleaned Data'!C93</f>
        <v>1.8370000000000001E-2</v>
      </c>
      <c r="D93" s="3">
        <f>'Cleaned Data'!D93</f>
        <v>4.0000000000000001E-3</v>
      </c>
      <c r="E93" s="1">
        <f t="shared" si="8"/>
        <v>1.8296812749003986E-2</v>
      </c>
      <c r="F93" s="24">
        <f t="shared" si="9"/>
        <v>7.3187250996014502E-5</v>
      </c>
      <c r="G93" s="1" t="str">
        <f t="shared" si="10"/>
        <v>Up to $10</v>
      </c>
      <c r="H93" s="1">
        <f t="shared" si="11"/>
        <v>120</v>
      </c>
      <c r="I93" s="1" t="str">
        <f t="shared" si="12"/>
        <v/>
      </c>
    </row>
    <row r="94" spans="1:9" hidden="1">
      <c r="A94" s="1" t="str">
        <f>'Cleaned Data'!A94</f>
        <v>Cult DAO</v>
      </c>
      <c r="B94" s="1" t="str">
        <f>'Cleaned Data'!B94</f>
        <v>CULT</v>
      </c>
      <c r="C94" s="24">
        <f>'Cleaned Data'!C94</f>
        <v>5.3610999999999999E-2</v>
      </c>
      <c r="D94" s="3">
        <f>'Cleaned Data'!D94</f>
        <v>2.0000000000000001E-4</v>
      </c>
      <c r="E94" s="1">
        <f t="shared" si="8"/>
        <v>5.3600279944011196E-2</v>
      </c>
      <c r="F94" s="24">
        <f t="shared" si="9"/>
        <v>1.0720055988802657E-5</v>
      </c>
      <c r="G94" s="1" t="str">
        <f t="shared" si="10"/>
        <v>Up to $10</v>
      </c>
      <c r="H94" s="1">
        <f t="shared" si="11"/>
        <v>154</v>
      </c>
      <c r="I94" s="1" t="str">
        <f t="shared" si="12"/>
        <v/>
      </c>
    </row>
    <row r="95" spans="1:9" hidden="1">
      <c r="A95" s="1" t="str">
        <f>'Cleaned Data'!A95</f>
        <v>crow with knife</v>
      </c>
      <c r="B95" s="1" t="str">
        <f>'Cleaned Data'!B95</f>
        <v>CAW</v>
      </c>
      <c r="C95" s="24">
        <f>'Cleaned Data'!C95</f>
        <v>7.1993000000000001E-2</v>
      </c>
      <c r="D95" s="3">
        <f>'Cleaned Data'!D95</f>
        <v>2.9999999999999997E-4</v>
      </c>
      <c r="E95" s="1">
        <f t="shared" si="8"/>
        <v>7.1971408577426774E-2</v>
      </c>
      <c r="F95" s="24">
        <f t="shared" si="9"/>
        <v>2.159142257322777E-5</v>
      </c>
      <c r="G95" s="1" t="str">
        <f t="shared" si="10"/>
        <v>Up to $10</v>
      </c>
      <c r="H95" s="1">
        <f t="shared" si="11"/>
        <v>138</v>
      </c>
      <c r="I95" s="1" t="str">
        <f t="shared" si="12"/>
        <v/>
      </c>
    </row>
    <row r="96" spans="1:9" hidden="1">
      <c r="A96" s="1" t="str">
        <f>'Cleaned Data'!A96</f>
        <v>Cortex</v>
      </c>
      <c r="B96" s="1" t="str">
        <f>'Cleaned Data'!B96</f>
        <v>CTXC</v>
      </c>
      <c r="C96" s="24">
        <f>'Cleaned Data'!C96</f>
        <v>6.6669999999999993E-2</v>
      </c>
      <c r="D96" s="3">
        <f>'Cleaned Data'!D96</f>
        <v>1.1000000000000001E-3</v>
      </c>
      <c r="E96" s="1">
        <f t="shared" si="8"/>
        <v>6.659674358205972E-2</v>
      </c>
      <c r="F96" s="24">
        <f t="shared" si="9"/>
        <v>7.3256417940273377E-5</v>
      </c>
      <c r="G96" s="1" t="str">
        <f t="shared" si="10"/>
        <v>Up to $10</v>
      </c>
      <c r="H96" s="1">
        <f t="shared" si="11"/>
        <v>119</v>
      </c>
      <c r="I96" s="1" t="str">
        <f t="shared" si="12"/>
        <v/>
      </c>
    </row>
    <row r="97" spans="1:9" hidden="1">
      <c r="A97" s="1" t="str">
        <f>'Cleaned Data'!A97</f>
        <v>Paris Saint-Germain Fan Token</v>
      </c>
      <c r="B97" s="1" t="str">
        <f>'Cleaned Data'!B97</f>
        <v>PSG</v>
      </c>
      <c r="C97" s="24">
        <f>'Cleaned Data'!C97</f>
        <v>1.6</v>
      </c>
      <c r="D97" s="3">
        <f>'Cleaned Data'!D97</f>
        <v>1.8E-3</v>
      </c>
      <c r="E97" s="1">
        <f t="shared" si="8"/>
        <v>1.5971251746855661</v>
      </c>
      <c r="F97" s="24">
        <f t="shared" si="9"/>
        <v>2.8748253144339486E-3</v>
      </c>
      <c r="G97" s="1" t="str">
        <f t="shared" si="10"/>
        <v>Up to $10</v>
      </c>
      <c r="H97" s="1">
        <f t="shared" si="11"/>
        <v>29</v>
      </c>
      <c r="I97" s="1" t="str">
        <f t="shared" si="12"/>
        <v/>
      </c>
    </row>
    <row r="98" spans="1:9">
      <c r="A98" s="1" t="str">
        <f>'Cleaned Data'!A98</f>
        <v>Comtech Gold</v>
      </c>
      <c r="B98" s="1" t="str">
        <f>'Cleaned Data'!B98</f>
        <v>CGO</v>
      </c>
      <c r="C98" s="24">
        <f>'Cleaned Data'!C98</f>
        <v>108.17</v>
      </c>
      <c r="D98" s="3">
        <f>'Cleaned Data'!D98</f>
        <v>5.9999999999999995E-4</v>
      </c>
      <c r="E98" s="1">
        <f t="shared" si="8"/>
        <v>108.10513691784929</v>
      </c>
      <c r="F98" s="24">
        <f t="shared" si="9"/>
        <v>6.4863082150708351E-2</v>
      </c>
      <c r="G98" s="1" t="str">
        <f t="shared" si="10"/>
        <v>Greater than or equal to $10</v>
      </c>
      <c r="H98" s="1">
        <f t="shared" si="11"/>
        <v>7</v>
      </c>
      <c r="I98" s="1" t="str">
        <f t="shared" si="12"/>
        <v>Top 10</v>
      </c>
    </row>
    <row r="99" spans="1:9" hidden="1">
      <c r="A99" s="1" t="str">
        <f>'Cleaned Data'!A99</f>
        <v>Definitive</v>
      </c>
      <c r="B99" s="1" t="str">
        <f>'Cleaned Data'!B99</f>
        <v>EDGE</v>
      </c>
      <c r="C99" s="24">
        <f>'Cleaned Data'!C99</f>
        <v>7.5079999999999994E-2</v>
      </c>
      <c r="D99" s="3">
        <f>'Cleaned Data'!D99</f>
        <v>7.000000000000001E-4</v>
      </c>
      <c r="E99" s="1">
        <f t="shared" si="8"/>
        <v>7.5027480763465576E-2</v>
      </c>
      <c r="F99" s="24">
        <f t="shared" si="9"/>
        <v>5.2519236534417924E-5</v>
      </c>
      <c r="G99" s="1" t="str">
        <f t="shared" si="10"/>
        <v>Up to $10</v>
      </c>
      <c r="H99" s="1">
        <f t="shared" si="11"/>
        <v>126</v>
      </c>
      <c r="I99" s="1" t="str">
        <f t="shared" si="12"/>
        <v/>
      </c>
    </row>
    <row r="100" spans="1:9" hidden="1">
      <c r="A100" s="1" t="str">
        <f>'Cleaned Data'!A100</f>
        <v>Contentos</v>
      </c>
      <c r="B100" s="1" t="str">
        <f>'Cleaned Data'!B100</f>
        <v>COS</v>
      </c>
      <c r="C100" s="24">
        <f>'Cleaned Data'!C100</f>
        <v>2.934E-3</v>
      </c>
      <c r="D100" s="3">
        <f>'Cleaned Data'!D100</f>
        <v>7.3000000000000001E-3</v>
      </c>
      <c r="E100" s="1">
        <f t="shared" si="8"/>
        <v>2.9127370197557824E-3</v>
      </c>
      <c r="F100" s="24">
        <f t="shared" si="9"/>
        <v>2.1262980244217584E-5</v>
      </c>
      <c r="G100" s="1" t="str">
        <f t="shared" si="10"/>
        <v>Up to $10</v>
      </c>
      <c r="H100" s="1">
        <f t="shared" si="11"/>
        <v>139</v>
      </c>
      <c r="I100" s="1" t="str">
        <f t="shared" si="12"/>
        <v/>
      </c>
    </row>
    <row r="101" spans="1:9" hidden="1">
      <c r="A101" s="1" t="str">
        <f>'Cleaned Data'!A101</f>
        <v>Step Finance</v>
      </c>
      <c r="B101" s="1" t="str">
        <f>'Cleaned Data'!B101</f>
        <v>STEP</v>
      </c>
      <c r="C101" s="24">
        <f>'Cleaned Data'!C101</f>
        <v>6.8440000000000001E-2</v>
      </c>
      <c r="D101" s="3">
        <f>'Cleaned Data'!D101</f>
        <v>2.5099999999999997E-2</v>
      </c>
      <c r="E101" s="1">
        <f t="shared" si="8"/>
        <v>6.6764218125060976E-2</v>
      </c>
      <c r="F101" s="24">
        <f t="shared" si="9"/>
        <v>1.6757818749390252E-3</v>
      </c>
      <c r="G101" s="1" t="str">
        <f t="shared" si="10"/>
        <v>Up to $10</v>
      </c>
      <c r="H101" s="1">
        <f t="shared" si="11"/>
        <v>38</v>
      </c>
      <c r="I101" s="1" t="str">
        <f t="shared" si="12"/>
        <v/>
      </c>
    </row>
    <row r="102" spans="1:9" hidden="1">
      <c r="A102" s="1" t="str">
        <f>'Cleaned Data'!A102</f>
        <v>OctaSpace</v>
      </c>
      <c r="B102" s="1" t="str">
        <f>'Cleaned Data'!B102</f>
        <v>OCTA</v>
      </c>
      <c r="C102" s="24">
        <f>'Cleaned Data'!C102</f>
        <v>0.3211</v>
      </c>
      <c r="D102" s="3">
        <f>'Cleaned Data'!D102</f>
        <v>3.0999999999999999E-3</v>
      </c>
      <c r="E102" s="1">
        <f t="shared" si="8"/>
        <v>0.32010766623467246</v>
      </c>
      <c r="F102" s="24">
        <f t="shared" si="9"/>
        <v>9.9233376532753548E-4</v>
      </c>
      <c r="G102" s="1" t="str">
        <f t="shared" si="10"/>
        <v>Up to $10</v>
      </c>
      <c r="H102" s="1">
        <f t="shared" si="11"/>
        <v>50</v>
      </c>
      <c r="I102" s="1" t="str">
        <f t="shared" si="12"/>
        <v/>
      </c>
    </row>
    <row r="103" spans="1:9" hidden="1">
      <c r="A103" s="1" t="str">
        <f>'Cleaned Data'!A103</f>
        <v>Aura Finance</v>
      </c>
      <c r="B103" s="1" t="str">
        <f>'Cleaned Data'!B103</f>
        <v>AURA</v>
      </c>
      <c r="C103" s="24">
        <f>'Cleaned Data'!C103</f>
        <v>0.18229999999999999</v>
      </c>
      <c r="D103" s="3">
        <f>'Cleaned Data'!D103</f>
        <v>1E-4</v>
      </c>
      <c r="E103" s="1">
        <f t="shared" si="8"/>
        <v>0.18228177182281771</v>
      </c>
      <c r="F103" s="24">
        <f t="shared" si="9"/>
        <v>1.8228177182277872E-5</v>
      </c>
      <c r="G103" s="1" t="str">
        <f t="shared" si="10"/>
        <v>Up to $10</v>
      </c>
      <c r="H103" s="1">
        <f t="shared" si="11"/>
        <v>146</v>
      </c>
      <c r="I103" s="1" t="str">
        <f t="shared" si="12"/>
        <v/>
      </c>
    </row>
    <row r="104" spans="1:9" hidden="1">
      <c r="A104" s="1" t="str">
        <f>'Cleaned Data'!A104</f>
        <v>PIBBLE</v>
      </c>
      <c r="B104" s="1" t="str">
        <f>'Cleaned Data'!B104</f>
        <v>PIB</v>
      </c>
      <c r="C104" s="24">
        <f>'Cleaned Data'!C104</f>
        <v>4.9510000000000005E-4</v>
      </c>
      <c r="D104" s="3">
        <f>'Cleaned Data'!D104</f>
        <v>4.0500000000000001E-2</v>
      </c>
      <c r="E104" s="1">
        <f t="shared" si="8"/>
        <v>4.7582892839980785E-4</v>
      </c>
      <c r="F104" s="24">
        <f t="shared" si="9"/>
        <v>1.9271071600192205E-5</v>
      </c>
      <c r="G104" s="1" t="str">
        <f t="shared" si="10"/>
        <v>Up to $10</v>
      </c>
      <c r="H104" s="1">
        <f t="shared" si="11"/>
        <v>143</v>
      </c>
      <c r="I104" s="1" t="str">
        <f t="shared" si="12"/>
        <v/>
      </c>
    </row>
    <row r="105" spans="1:9" hidden="1">
      <c r="A105" s="1" t="str">
        <f>'Cleaned Data'!A105</f>
        <v>U2U Network</v>
      </c>
      <c r="B105" s="1" t="str">
        <f>'Cleaned Data'!B105</f>
        <v>U2U</v>
      </c>
      <c r="C105" s="24">
        <f>'Cleaned Data'!C105</f>
        <v>7.8300000000000002E-3</v>
      </c>
      <c r="D105" s="3">
        <f>'Cleaned Data'!D105</f>
        <v>5.1000000000000004E-3</v>
      </c>
      <c r="E105" s="1">
        <f t="shared" si="8"/>
        <v>7.7902696249129433E-3</v>
      </c>
      <c r="F105" s="24">
        <f t="shared" si="9"/>
        <v>3.9730375087056874E-5</v>
      </c>
      <c r="G105" s="1" t="str">
        <f t="shared" si="10"/>
        <v>Up to $10</v>
      </c>
      <c r="H105" s="1">
        <f t="shared" si="11"/>
        <v>128</v>
      </c>
      <c r="I105" s="1" t="str">
        <f t="shared" si="12"/>
        <v/>
      </c>
    </row>
    <row r="106" spans="1:9" hidden="1">
      <c r="A106" s="1" t="str">
        <f>'Cleaned Data'!A106</f>
        <v>Persistence One</v>
      </c>
      <c r="B106" s="1" t="str">
        <f>'Cleaned Data'!B106</f>
        <v>XPRT</v>
      </c>
      <c r="C106" s="24">
        <f>'Cleaned Data'!C106</f>
        <v>5.5989999999999998E-2</v>
      </c>
      <c r="D106" s="3">
        <f>'Cleaned Data'!D106</f>
        <v>2.9999999999999997E-4</v>
      </c>
      <c r="E106" s="1">
        <f t="shared" si="8"/>
        <v>5.597320803758872E-2</v>
      </c>
      <c r="F106" s="24">
        <f t="shared" si="9"/>
        <v>1.6791962411277783E-5</v>
      </c>
      <c r="G106" s="1" t="str">
        <f t="shared" si="10"/>
        <v>Up to $10</v>
      </c>
      <c r="H106" s="1">
        <f t="shared" si="11"/>
        <v>147</v>
      </c>
      <c r="I106" s="1" t="str">
        <f t="shared" si="12"/>
        <v/>
      </c>
    </row>
    <row r="107" spans="1:9" hidden="1">
      <c r="A107" s="1" t="str">
        <f>'Cleaned Data'!A107</f>
        <v>TROLL (SOL)</v>
      </c>
      <c r="B107" s="1" t="str">
        <f>'Cleaned Data'!B107</f>
        <v>TROLL</v>
      </c>
      <c r="C107" s="24">
        <f>'Cleaned Data'!C107</f>
        <v>1.193E-2</v>
      </c>
      <c r="D107" s="3">
        <f>'Cleaned Data'!D107</f>
        <v>5.0000000000000001E-4</v>
      </c>
      <c r="E107" s="1">
        <f t="shared" si="8"/>
        <v>1.1924037981009496E-2</v>
      </c>
      <c r="F107" s="24">
        <f t="shared" si="9"/>
        <v>5.9620189905035953E-6</v>
      </c>
      <c r="G107" s="1" t="str">
        <f t="shared" si="10"/>
        <v>Up to $10</v>
      </c>
      <c r="H107" s="1">
        <f t="shared" si="11"/>
        <v>165</v>
      </c>
      <c r="I107" s="1" t="str">
        <f t="shared" si="12"/>
        <v/>
      </c>
    </row>
    <row r="108" spans="1:9" hidden="1">
      <c r="A108" s="1" t="str">
        <f>'Cleaned Data'!A108</f>
        <v>WeFi</v>
      </c>
      <c r="B108" s="1" t="str">
        <f>'Cleaned Data'!B108</f>
        <v>WFI</v>
      </c>
      <c r="C108" s="24">
        <f>'Cleaned Data'!C108</f>
        <v>0.42120000000000002</v>
      </c>
      <c r="D108" s="3">
        <f>'Cleaned Data'!D108</f>
        <v>2.2000000000000001E-3</v>
      </c>
      <c r="E108" s="1">
        <f t="shared" si="8"/>
        <v>0.42027539413290765</v>
      </c>
      <c r="F108" s="24">
        <f t="shared" si="9"/>
        <v>9.2460586709236514E-4</v>
      </c>
      <c r="G108" s="1" t="str">
        <f t="shared" si="10"/>
        <v>Up to $10</v>
      </c>
      <c r="H108" s="1">
        <f t="shared" si="11"/>
        <v>53</v>
      </c>
      <c r="I108" s="1" t="str">
        <f t="shared" si="12"/>
        <v/>
      </c>
    </row>
    <row r="109" spans="1:9" hidden="1">
      <c r="A109" s="1" t="str">
        <f>'Cleaned Data'!A109</f>
        <v>Dora Factory</v>
      </c>
      <c r="B109" s="1" t="str">
        <f>'Cleaned Data'!B109</f>
        <v>DORA</v>
      </c>
      <c r="C109" s="24">
        <f>'Cleaned Data'!C109</f>
        <v>2.198E-2</v>
      </c>
      <c r="D109" s="3">
        <f>'Cleaned Data'!D109</f>
        <v>1.41E-2</v>
      </c>
      <c r="E109" s="1">
        <f t="shared" si="8"/>
        <v>2.1674391085691747E-2</v>
      </c>
      <c r="F109" s="24">
        <f t="shared" si="9"/>
        <v>3.0560891430825299E-4</v>
      </c>
      <c r="G109" s="1" t="str">
        <f t="shared" si="10"/>
        <v>Up to $10</v>
      </c>
      <c r="H109" s="1">
        <f t="shared" si="11"/>
        <v>87</v>
      </c>
      <c r="I109" s="1" t="str">
        <f t="shared" si="12"/>
        <v/>
      </c>
    </row>
    <row r="110" spans="1:9" hidden="1">
      <c r="A110" s="1" t="str">
        <f>'Cleaned Data'!A110</f>
        <v>Alon</v>
      </c>
      <c r="B110" s="1" t="str">
        <f>'Cleaned Data'!B110</f>
        <v>ALON</v>
      </c>
      <c r="C110" s="24">
        <f>'Cleaned Data'!C110</f>
        <v>1.163E-2</v>
      </c>
      <c r="D110" s="3">
        <f>'Cleaned Data'!D110</f>
        <v>4.1999999999999997E-3</v>
      </c>
      <c r="E110" s="1">
        <f t="shared" si="8"/>
        <v>1.1581358295160327E-2</v>
      </c>
      <c r="F110" s="24">
        <f t="shared" si="9"/>
        <v>4.8641704839673047E-5</v>
      </c>
      <c r="G110" s="1" t="str">
        <f t="shared" si="10"/>
        <v>Up to $10</v>
      </c>
      <c r="H110" s="1">
        <f t="shared" si="11"/>
        <v>127</v>
      </c>
      <c r="I110" s="1" t="str">
        <f t="shared" si="12"/>
        <v/>
      </c>
    </row>
    <row r="111" spans="1:9">
      <c r="A111" s="1" t="str">
        <f>'Cleaned Data'!A111</f>
        <v>Beefy</v>
      </c>
      <c r="B111" s="1" t="str">
        <f>'Cleaned Data'!B111</f>
        <v>BIFI</v>
      </c>
      <c r="C111" s="24">
        <f>'Cleaned Data'!C111</f>
        <v>146.91999999999999</v>
      </c>
      <c r="D111" s="3">
        <f>'Cleaned Data'!D111</f>
        <v>1.6000000000000001E-3</v>
      </c>
      <c r="E111" s="1">
        <f t="shared" si="8"/>
        <v>146.68530351437698</v>
      </c>
      <c r="F111" s="24">
        <f t="shared" si="9"/>
        <v>0.23469648562300449</v>
      </c>
      <c r="G111" s="1" t="str">
        <f t="shared" si="10"/>
        <v>Greater than or equal to $10</v>
      </c>
      <c r="H111" s="1">
        <f t="shared" si="11"/>
        <v>6</v>
      </c>
      <c r="I111" s="1" t="str">
        <f t="shared" si="12"/>
        <v>Top 10</v>
      </c>
    </row>
    <row r="112" spans="1:9" hidden="1">
      <c r="A112" s="1" t="str">
        <f>'Cleaned Data'!A112</f>
        <v>Karate Combat</v>
      </c>
      <c r="B112" s="1" t="str">
        <f>'Cleaned Data'!B112</f>
        <v>KARATE</v>
      </c>
      <c r="C112" s="24">
        <f>'Cleaned Data'!C112</f>
        <v>1.392E-4</v>
      </c>
      <c r="D112" s="3">
        <f>'Cleaned Data'!D112</f>
        <v>2.5000000000000001E-3</v>
      </c>
      <c r="E112" s="1">
        <f t="shared" si="8"/>
        <v>1.3885286783042394E-4</v>
      </c>
      <c r="F112" s="24">
        <f t="shared" si="9"/>
        <v>3.4713216957605328E-7</v>
      </c>
      <c r="G112" s="1" t="str">
        <f t="shared" si="10"/>
        <v>Up to $10</v>
      </c>
      <c r="H112" s="1">
        <f t="shared" si="11"/>
        <v>183</v>
      </c>
      <c r="I112" s="1" t="str">
        <f t="shared" si="12"/>
        <v/>
      </c>
    </row>
    <row r="113" spans="1:9" hidden="1">
      <c r="A113" s="1" t="str">
        <f>'Cleaned Data'!A113</f>
        <v>Efinity Token</v>
      </c>
      <c r="B113" s="1" t="str">
        <f>'Cleaned Data'!B113</f>
        <v>EFI</v>
      </c>
      <c r="C113" s="24">
        <f>'Cleaned Data'!C113</f>
        <v>0.1065</v>
      </c>
      <c r="D113" s="3">
        <f>'Cleaned Data'!D113</f>
        <v>0</v>
      </c>
      <c r="E113" s="1">
        <f t="shared" si="8"/>
        <v>0.1065</v>
      </c>
      <c r="F113" s="24">
        <f t="shared" si="9"/>
        <v>0</v>
      </c>
      <c r="G113" s="1" t="str">
        <f t="shared" si="10"/>
        <v>Up to $10</v>
      </c>
      <c r="H113" s="1">
        <f t="shared" si="11"/>
        <v>191</v>
      </c>
      <c r="I113" s="1" t="str">
        <f t="shared" si="12"/>
        <v/>
      </c>
    </row>
    <row r="114" spans="1:9" hidden="1">
      <c r="A114" s="1" t="str">
        <f>'Cleaned Data'!A114</f>
        <v>Nura Labs</v>
      </c>
      <c r="B114" s="1" t="str">
        <f>'Cleaned Data'!B114</f>
        <v>NURA</v>
      </c>
      <c r="C114" s="24">
        <f>'Cleaned Data'!C114</f>
        <v>1.8810000000000001E-3</v>
      </c>
      <c r="D114" s="3">
        <f>'Cleaned Data'!D114</f>
        <v>1.1999999999999999E-3</v>
      </c>
      <c r="E114" s="1">
        <f t="shared" si="8"/>
        <v>1.8787455053935276E-3</v>
      </c>
      <c r="F114" s="24">
        <f t="shared" si="9"/>
        <v>2.25449460647246E-6</v>
      </c>
      <c r="G114" s="1" t="str">
        <f t="shared" si="10"/>
        <v>Up to $10</v>
      </c>
      <c r="H114" s="1">
        <f t="shared" si="11"/>
        <v>176</v>
      </c>
      <c r="I114" s="1" t="str">
        <f t="shared" si="12"/>
        <v/>
      </c>
    </row>
    <row r="115" spans="1:9" hidden="1">
      <c r="A115" s="1" t="str">
        <f>'Cleaned Data'!A115</f>
        <v>Nexera</v>
      </c>
      <c r="B115" s="1" t="str">
        <f>'Cleaned Data'!B115</f>
        <v>NXRA</v>
      </c>
      <c r="C115" s="24">
        <f>'Cleaned Data'!C115</f>
        <v>9.0589999999999993E-3</v>
      </c>
      <c r="D115" s="3">
        <f>'Cleaned Data'!D115</f>
        <v>8.8000000000000005E-3</v>
      </c>
      <c r="E115" s="1">
        <f t="shared" si="8"/>
        <v>8.9799762093576534E-3</v>
      </c>
      <c r="F115" s="24">
        <f t="shared" si="9"/>
        <v>7.9023790642345978E-5</v>
      </c>
      <c r="G115" s="1" t="str">
        <f t="shared" si="10"/>
        <v>Up to $10</v>
      </c>
      <c r="H115" s="1">
        <f t="shared" si="11"/>
        <v>117</v>
      </c>
      <c r="I115" s="1" t="str">
        <f t="shared" si="12"/>
        <v/>
      </c>
    </row>
    <row r="116" spans="1:9" hidden="1">
      <c r="A116" s="1" t="str">
        <f>'Cleaned Data'!A116</f>
        <v>Department Of Government Efficiency (dogegov.com)</v>
      </c>
      <c r="B116" s="1" t="str">
        <f>'Cleaned Data'!B116</f>
        <v>DOGE</v>
      </c>
      <c r="C116" s="24">
        <f>'Cleaned Data'!C116</f>
        <v>9.443E-3</v>
      </c>
      <c r="D116" s="3">
        <f>'Cleaned Data'!D116</f>
        <v>1.3899999999999999E-2</v>
      </c>
      <c r="E116" s="1">
        <f t="shared" si="8"/>
        <v>9.3135417694052668E-3</v>
      </c>
      <c r="F116" s="24">
        <f t="shared" si="9"/>
        <v>1.2945823059473324E-4</v>
      </c>
      <c r="G116" s="1" t="str">
        <f t="shared" si="10"/>
        <v>Up to $10</v>
      </c>
      <c r="H116" s="1">
        <f t="shared" si="11"/>
        <v>99</v>
      </c>
      <c r="I116" s="1" t="str">
        <f t="shared" si="12"/>
        <v/>
      </c>
    </row>
    <row r="117" spans="1:9" hidden="1">
      <c r="A117" s="1" t="str">
        <f>'Cleaned Data'!A117</f>
        <v>moonpig</v>
      </c>
      <c r="B117" s="1" t="str">
        <f>'Cleaned Data'!B117</f>
        <v>MOONPIG</v>
      </c>
      <c r="C117" s="24">
        <f>'Cleaned Data'!C117</f>
        <v>9.0810000000000005E-3</v>
      </c>
      <c r="D117" s="3">
        <f>'Cleaned Data'!D117</f>
        <v>1.26E-2</v>
      </c>
      <c r="E117" s="1">
        <f t="shared" si="8"/>
        <v>8.9680031601817121E-3</v>
      </c>
      <c r="F117" s="24">
        <f t="shared" si="9"/>
        <v>1.1299683981828845E-4</v>
      </c>
      <c r="G117" s="1" t="str">
        <f t="shared" si="10"/>
        <v>Up to $10</v>
      </c>
      <c r="H117" s="1">
        <f t="shared" si="11"/>
        <v>103</v>
      </c>
      <c r="I117" s="1" t="str">
        <f t="shared" si="12"/>
        <v/>
      </c>
    </row>
    <row r="118" spans="1:9" hidden="1">
      <c r="A118" s="1" t="str">
        <f>'Cleaned Data'!A118</f>
        <v>Aerobud</v>
      </c>
      <c r="B118" s="1" t="str">
        <f>'Cleaned Data'!B118</f>
        <v>AEROBUD</v>
      </c>
      <c r="C118" s="24">
        <f>'Cleaned Data'!C118</f>
        <v>9.4009999999999996E-3</v>
      </c>
      <c r="D118" s="3">
        <f>'Cleaned Data'!D118</f>
        <v>1.8000000000000002E-2</v>
      </c>
      <c r="E118" s="1">
        <f t="shared" si="8"/>
        <v>9.2347740667976415E-3</v>
      </c>
      <c r="F118" s="24">
        <f t="shared" si="9"/>
        <v>1.6622593320235815E-4</v>
      </c>
      <c r="G118" s="1" t="str">
        <f t="shared" si="10"/>
        <v>Up to $10</v>
      </c>
      <c r="H118" s="1">
        <f t="shared" si="11"/>
        <v>96</v>
      </c>
      <c r="I118" s="1" t="str">
        <f t="shared" si="12"/>
        <v/>
      </c>
    </row>
    <row r="119" spans="1:9" hidden="1">
      <c r="A119" s="1" t="str">
        <f>'Cleaned Data'!A119</f>
        <v>cheqd</v>
      </c>
      <c r="B119" s="1" t="str">
        <f>'Cleaned Data'!B119</f>
        <v>CHEQ</v>
      </c>
      <c r="C119" s="24">
        <f>'Cleaned Data'!C119</f>
        <v>1.413E-2</v>
      </c>
      <c r="D119" s="3">
        <f>'Cleaned Data'!D119</f>
        <v>4.5000000000000005E-3</v>
      </c>
      <c r="E119" s="1">
        <f t="shared" si="8"/>
        <v>1.4066699850671978E-2</v>
      </c>
      <c r="F119" s="24">
        <f t="shared" si="9"/>
        <v>6.3300149328022678E-5</v>
      </c>
      <c r="G119" s="1" t="str">
        <f t="shared" si="10"/>
        <v>Up to $10</v>
      </c>
      <c r="H119" s="1">
        <f t="shared" si="11"/>
        <v>124</v>
      </c>
      <c r="I119" s="1" t="str">
        <f t="shared" si="12"/>
        <v/>
      </c>
    </row>
    <row r="120" spans="1:9" hidden="1">
      <c r="A120" s="1" t="str">
        <f>'Cleaned Data'!A120</f>
        <v>Koma Inu</v>
      </c>
      <c r="B120" s="1" t="str">
        <f>'Cleaned Data'!B120</f>
        <v>KOMA</v>
      </c>
      <c r="C120" s="24">
        <f>'Cleaned Data'!C120</f>
        <v>1.661E-2</v>
      </c>
      <c r="D120" s="3">
        <f>'Cleaned Data'!D120</f>
        <v>2.18E-2</v>
      </c>
      <c r="E120" s="1">
        <f t="shared" si="8"/>
        <v>1.6255627324329613E-2</v>
      </c>
      <c r="F120" s="24">
        <f t="shared" si="9"/>
        <v>3.5437267567038633E-4</v>
      </c>
      <c r="G120" s="1" t="str">
        <f t="shared" si="10"/>
        <v>Up to $10</v>
      </c>
      <c r="H120" s="1">
        <f t="shared" si="11"/>
        <v>80</v>
      </c>
      <c r="I120" s="1" t="str">
        <f t="shared" si="12"/>
        <v/>
      </c>
    </row>
    <row r="121" spans="1:9" hidden="1">
      <c r="A121" s="1" t="str">
        <f>'Cleaned Data'!A121</f>
        <v>Pitbull</v>
      </c>
      <c r="B121" s="1" t="str">
        <f>'Cleaned Data'!B121</f>
        <v>PIT</v>
      </c>
      <c r="C121" s="24">
        <f>'Cleaned Data'!C121</f>
        <v>9.2256000000000005E-2</v>
      </c>
      <c r="D121" s="3">
        <f>'Cleaned Data'!D121</f>
        <v>1.4199999999999999E-2</v>
      </c>
      <c r="E121" s="1">
        <f t="shared" si="8"/>
        <v>9.0964306842831799E-2</v>
      </c>
      <c r="F121" s="24">
        <f t="shared" si="9"/>
        <v>1.2916931571682055E-3</v>
      </c>
      <c r="G121" s="1" t="str">
        <f t="shared" si="10"/>
        <v>Up to $10</v>
      </c>
      <c r="H121" s="1">
        <f t="shared" si="11"/>
        <v>44</v>
      </c>
      <c r="I121" s="1" t="str">
        <f t="shared" si="12"/>
        <v/>
      </c>
    </row>
    <row r="122" spans="1:9" hidden="1">
      <c r="A122" s="1" t="str">
        <f>'Cleaned Data'!A122</f>
        <v>Venus LTC</v>
      </c>
      <c r="B122" s="1" t="str">
        <f>'Cleaned Data'!B122</f>
        <v>vLTC</v>
      </c>
      <c r="C122" s="24">
        <f>'Cleaned Data'!C122</f>
        <v>1.69</v>
      </c>
      <c r="D122" s="3">
        <f>'Cleaned Data'!D122</f>
        <v>4.5000000000000005E-3</v>
      </c>
      <c r="E122" s="1">
        <f t="shared" si="8"/>
        <v>1.6824290691886512</v>
      </c>
      <c r="F122" s="24">
        <f t="shared" si="9"/>
        <v>7.5709308113487417E-3</v>
      </c>
      <c r="G122" s="1" t="str">
        <f t="shared" si="10"/>
        <v>Up to $10</v>
      </c>
      <c r="H122" s="1">
        <f t="shared" si="11"/>
        <v>16</v>
      </c>
      <c r="I122" s="1" t="str">
        <f t="shared" si="12"/>
        <v/>
      </c>
    </row>
    <row r="123" spans="1:9" hidden="1">
      <c r="A123" s="1" t="str">
        <f>'Cleaned Data'!A123</f>
        <v>KONET</v>
      </c>
      <c r="B123" s="1" t="str">
        <f>'Cleaned Data'!B123</f>
        <v>KONET</v>
      </c>
      <c r="C123" s="24">
        <f>'Cleaned Data'!C123</f>
        <v>3.4939999999999999E-2</v>
      </c>
      <c r="D123" s="3">
        <f>'Cleaned Data'!D123</f>
        <v>1.09E-2</v>
      </c>
      <c r="E123" s="1">
        <f t="shared" si="8"/>
        <v>3.4563260460975367E-2</v>
      </c>
      <c r="F123" s="24">
        <f t="shared" si="9"/>
        <v>3.7673953902463142E-4</v>
      </c>
      <c r="G123" s="1" t="str">
        <f t="shared" si="10"/>
        <v>Up to $10</v>
      </c>
      <c r="H123" s="1">
        <f t="shared" si="11"/>
        <v>78</v>
      </c>
      <c r="I123" s="1" t="str">
        <f t="shared" si="12"/>
        <v/>
      </c>
    </row>
    <row r="124" spans="1:9" hidden="1">
      <c r="A124" s="1" t="str">
        <f>'Cleaned Data'!A124</f>
        <v>Creta World</v>
      </c>
      <c r="B124" s="1" t="str">
        <f>'Cleaned Data'!B124</f>
        <v>CRETA</v>
      </c>
      <c r="C124" s="24">
        <f>'Cleaned Data'!C124</f>
        <v>4.7939999999999997E-3</v>
      </c>
      <c r="D124" s="3">
        <f>'Cleaned Data'!D124</f>
        <v>2.5000000000000001E-3</v>
      </c>
      <c r="E124" s="1">
        <f t="shared" si="8"/>
        <v>4.7820448877805488E-3</v>
      </c>
      <c r="F124" s="24">
        <f t="shared" si="9"/>
        <v>1.1955112219450871E-5</v>
      </c>
      <c r="G124" s="1" t="str">
        <f t="shared" si="10"/>
        <v>Up to $10</v>
      </c>
      <c r="H124" s="1">
        <f t="shared" si="11"/>
        <v>152</v>
      </c>
      <c r="I124" s="1" t="str">
        <f t="shared" si="12"/>
        <v/>
      </c>
    </row>
    <row r="125" spans="1:9" hidden="1">
      <c r="A125" s="1" t="str">
        <f>'Cleaned Data'!A125</f>
        <v>WazirX</v>
      </c>
      <c r="B125" s="1" t="str">
        <f>'Cleaned Data'!B125</f>
        <v>WRX</v>
      </c>
      <c r="C125" s="24">
        <f>'Cleaned Data'!C125</f>
        <v>1.839E-2</v>
      </c>
      <c r="D125" s="3">
        <f>'Cleaned Data'!D125</f>
        <v>5.3E-3</v>
      </c>
      <c r="E125" s="1">
        <f t="shared" si="8"/>
        <v>1.8293046851686062E-2</v>
      </c>
      <c r="F125" s="24">
        <f t="shared" si="9"/>
        <v>9.6953148313937837E-5</v>
      </c>
      <c r="G125" s="1" t="str">
        <f t="shared" si="10"/>
        <v>Up to $10</v>
      </c>
      <c r="H125" s="1">
        <f t="shared" si="11"/>
        <v>110</v>
      </c>
      <c r="I125" s="1" t="str">
        <f t="shared" si="12"/>
        <v/>
      </c>
    </row>
    <row r="126" spans="1:9" hidden="1">
      <c r="A126" s="1" t="str">
        <f>'Cleaned Data'!A126</f>
        <v>Baanx</v>
      </c>
      <c r="B126" s="1" t="str">
        <f>'Cleaned Data'!B126</f>
        <v>BXX</v>
      </c>
      <c r="C126" s="24">
        <f>'Cleaned Data'!C126</f>
        <v>3.6720000000000003E-2</v>
      </c>
      <c r="D126" s="3">
        <f>'Cleaned Data'!D126</f>
        <v>4.0000000000000001E-3</v>
      </c>
      <c r="E126" s="1">
        <f t="shared" si="8"/>
        <v>3.6573705179282871E-2</v>
      </c>
      <c r="F126" s="24">
        <f t="shared" si="9"/>
        <v>1.4629482071713135E-4</v>
      </c>
      <c r="G126" s="1" t="str">
        <f t="shared" si="10"/>
        <v>Up to $10</v>
      </c>
      <c r="H126" s="1">
        <f t="shared" si="11"/>
        <v>97</v>
      </c>
      <c r="I126" s="1" t="str">
        <f t="shared" si="12"/>
        <v/>
      </c>
    </row>
    <row r="127" spans="1:9" hidden="1">
      <c r="A127" s="1" t="str">
        <f>'Cleaned Data'!A127</f>
        <v>SwarmNode.ai</v>
      </c>
      <c r="B127" s="1" t="str">
        <f>'Cleaned Data'!B127</f>
        <v>SNAI</v>
      </c>
      <c r="C127" s="24">
        <f>'Cleaned Data'!C127</f>
        <v>7.7879999999999998E-3</v>
      </c>
      <c r="D127" s="3">
        <f>'Cleaned Data'!D127</f>
        <v>1.4199999999999999E-2</v>
      </c>
      <c r="E127" s="1">
        <f t="shared" si="8"/>
        <v>7.678958785249458E-3</v>
      </c>
      <c r="F127" s="24">
        <f t="shared" si="9"/>
        <v>1.0904121475054183E-4</v>
      </c>
      <c r="G127" s="1" t="str">
        <f t="shared" si="10"/>
        <v>Up to $10</v>
      </c>
      <c r="H127" s="1">
        <f t="shared" si="11"/>
        <v>104</v>
      </c>
      <c r="I127" s="1" t="str">
        <f t="shared" si="12"/>
        <v/>
      </c>
    </row>
    <row r="128" spans="1:9" hidden="1">
      <c r="A128" s="1" t="str">
        <f>'Cleaned Data'!A128</f>
        <v>Hathor</v>
      </c>
      <c r="B128" s="1" t="str">
        <f>'Cleaned Data'!B128</f>
        <v>HTR</v>
      </c>
      <c r="C128" s="24">
        <f>'Cleaned Data'!C128</f>
        <v>1.508E-2</v>
      </c>
      <c r="D128" s="3">
        <f>'Cleaned Data'!D128</f>
        <v>6.9999999999999993E-3</v>
      </c>
      <c r="E128" s="1">
        <f t="shared" si="8"/>
        <v>1.4975173783515393E-2</v>
      </c>
      <c r="F128" s="24">
        <f t="shared" si="9"/>
        <v>1.0482621648460685E-4</v>
      </c>
      <c r="G128" s="1" t="str">
        <f t="shared" si="10"/>
        <v>Up to $10</v>
      </c>
      <c r="H128" s="1">
        <f t="shared" si="11"/>
        <v>107</v>
      </c>
      <c r="I128" s="1" t="str">
        <f t="shared" si="12"/>
        <v/>
      </c>
    </row>
    <row r="129" spans="1:9" hidden="1">
      <c r="A129" s="1" t="str">
        <f>'Cleaned Data'!A129</f>
        <v>Venus DAI</v>
      </c>
      <c r="B129" s="1" t="str">
        <f>'Cleaned Data'!B129</f>
        <v>vDAI</v>
      </c>
      <c r="C129" s="24">
        <f>'Cleaned Data'!C129</f>
        <v>2.5340000000000001E-2</v>
      </c>
      <c r="D129" s="3">
        <f>'Cleaned Data'!D129</f>
        <v>0</v>
      </c>
      <c r="E129" s="1">
        <f t="shared" si="8"/>
        <v>2.5340000000000001E-2</v>
      </c>
      <c r="F129" s="24">
        <f t="shared" si="9"/>
        <v>0</v>
      </c>
      <c r="G129" s="1" t="str">
        <f t="shared" si="10"/>
        <v>Up to $10</v>
      </c>
      <c r="H129" s="1">
        <f t="shared" si="11"/>
        <v>191</v>
      </c>
      <c r="I129" s="1" t="str">
        <f t="shared" si="12"/>
        <v/>
      </c>
    </row>
    <row r="130" spans="1:9" hidden="1">
      <c r="A130" s="1" t="str">
        <f>'Cleaned Data'!A130</f>
        <v>trac (Ordinals)</v>
      </c>
      <c r="B130" s="1" t="str">
        <f>'Cleaned Data'!B130</f>
        <v>TRAC</v>
      </c>
      <c r="C130" s="24">
        <f>'Cleaned Data'!C130</f>
        <v>0.33090000000000003</v>
      </c>
      <c r="D130" s="3">
        <f>'Cleaned Data'!D130</f>
        <v>1.5E-3</v>
      </c>
      <c r="E130" s="1">
        <f t="shared" si="8"/>
        <v>0.3304043934098852</v>
      </c>
      <c r="F130" s="24">
        <f t="shared" si="9"/>
        <v>4.9560659011482766E-4</v>
      </c>
      <c r="G130" s="1" t="str">
        <f t="shared" si="10"/>
        <v>Up to $10</v>
      </c>
      <c r="H130" s="1">
        <f t="shared" si="11"/>
        <v>69</v>
      </c>
      <c r="I130" s="1" t="str">
        <f t="shared" si="12"/>
        <v/>
      </c>
    </row>
    <row r="131" spans="1:9" hidden="1">
      <c r="A131" s="1" t="str">
        <f>'Cleaned Data'!A131</f>
        <v>AirSwap</v>
      </c>
      <c r="B131" s="1" t="str">
        <f>'Cleaned Data'!B131</f>
        <v>AST</v>
      </c>
      <c r="C131" s="24">
        <f>'Cleaned Data'!C131</f>
        <v>3.9579999999999997E-2</v>
      </c>
      <c r="D131" s="3">
        <f>'Cleaned Data'!D131</f>
        <v>1.9699999999999999E-2</v>
      </c>
      <c r="E131" s="1">
        <f t="shared" ref="E131:E194" si="13">C131/(1+D131)</f>
        <v>3.8815337844464053E-2</v>
      </c>
      <c r="F131" s="24">
        <f t="shared" ref="F131:F194" si="14">C131-E131</f>
        <v>7.6466215553594452E-4</v>
      </c>
      <c r="G131" s="1" t="str">
        <f t="shared" ref="G131:G194" si="15">IF(C131&lt;=10,"Up to $10","Greater than or equal to $10")</f>
        <v>Up to $10</v>
      </c>
      <c r="H131" s="1">
        <f t="shared" ref="H131:H194" si="16">_xlfn.RANK.EQ(F131,$F$2:$F$201,0)</f>
        <v>62</v>
      </c>
      <c r="I131" s="1" t="str">
        <f t="shared" ref="I131:I194" si="17">IF(H131&lt;=10,"Top 10","")</f>
        <v/>
      </c>
    </row>
    <row r="132" spans="1:9" hidden="1">
      <c r="A132" s="1" t="str">
        <f>'Cleaned Data'!A132</f>
        <v>nubcat</v>
      </c>
      <c r="B132" s="1" t="str">
        <f>'Cleaned Data'!B132</f>
        <v>NUB</v>
      </c>
      <c r="C132" s="24">
        <f>'Cleaned Data'!C132</f>
        <v>5.5209999999999999E-3</v>
      </c>
      <c r="D132" s="3">
        <f>'Cleaned Data'!D132</f>
        <v>1.26E-2</v>
      </c>
      <c r="E132" s="1">
        <f t="shared" si="13"/>
        <v>5.4523010073079204E-3</v>
      </c>
      <c r="F132" s="24">
        <f t="shared" si="14"/>
        <v>6.8698992692079429E-5</v>
      </c>
      <c r="G132" s="1" t="str">
        <f t="shared" si="15"/>
        <v>Up to $10</v>
      </c>
      <c r="H132" s="1">
        <f t="shared" si="16"/>
        <v>122</v>
      </c>
      <c r="I132" s="1" t="str">
        <f t="shared" si="17"/>
        <v/>
      </c>
    </row>
    <row r="133" spans="1:9" hidden="1">
      <c r="A133" s="1" t="str">
        <f>'Cleaned Data'!A133</f>
        <v>CrossFi</v>
      </c>
      <c r="B133" s="1" t="str">
        <f>'Cleaned Data'!B133</f>
        <v>XFI</v>
      </c>
      <c r="C133" s="24">
        <f>'Cleaned Data'!C133</f>
        <v>9.0029999999999999E-2</v>
      </c>
      <c r="D133" s="3">
        <f>'Cleaned Data'!D133</f>
        <v>2.2000000000000001E-3</v>
      </c>
      <c r="E133" s="1">
        <f t="shared" si="13"/>
        <v>8.9832368788664935E-2</v>
      </c>
      <c r="F133" s="24">
        <f t="shared" si="14"/>
        <v>1.9763121133506423E-4</v>
      </c>
      <c r="G133" s="1" t="str">
        <f t="shared" si="15"/>
        <v>Up to $10</v>
      </c>
      <c r="H133" s="1">
        <f t="shared" si="16"/>
        <v>93</v>
      </c>
      <c r="I133" s="1" t="str">
        <f t="shared" si="17"/>
        <v/>
      </c>
    </row>
    <row r="134" spans="1:9" hidden="1">
      <c r="A134" s="1" t="str">
        <f>'Cleaned Data'!A134</f>
        <v>Tron Bull</v>
      </c>
      <c r="B134" s="1" t="str">
        <f>'Cleaned Data'!B134</f>
        <v>BULL</v>
      </c>
      <c r="C134" s="24">
        <f>'Cleaned Data'!C134</f>
        <v>5.4479999999999997E-3</v>
      </c>
      <c r="D134" s="3">
        <f>'Cleaned Data'!D134</f>
        <v>0</v>
      </c>
      <c r="E134" s="1">
        <f t="shared" si="13"/>
        <v>5.4479999999999997E-3</v>
      </c>
      <c r="F134" s="24">
        <f t="shared" si="14"/>
        <v>0</v>
      </c>
      <c r="G134" s="1" t="str">
        <f t="shared" si="15"/>
        <v>Up to $10</v>
      </c>
      <c r="H134" s="1">
        <f t="shared" si="16"/>
        <v>191</v>
      </c>
      <c r="I134" s="1" t="str">
        <f t="shared" si="17"/>
        <v/>
      </c>
    </row>
    <row r="135" spans="1:9" hidden="1">
      <c r="A135" s="1" t="str">
        <f>'Cleaned Data'!A135</f>
        <v>Openfabric AI</v>
      </c>
      <c r="B135" s="1" t="str">
        <f>'Cleaned Data'!B135</f>
        <v>OFN</v>
      </c>
      <c r="C135" s="24">
        <f>'Cleaned Data'!C135</f>
        <v>2.954E-2</v>
      </c>
      <c r="D135" s="3">
        <f>'Cleaned Data'!D135</f>
        <v>2.2000000000000001E-3</v>
      </c>
      <c r="E135" s="1">
        <f t="shared" si="13"/>
        <v>2.9475154659748554E-2</v>
      </c>
      <c r="F135" s="24">
        <f t="shared" si="14"/>
        <v>6.4845340251445949E-5</v>
      </c>
      <c r="G135" s="1" t="str">
        <f t="shared" si="15"/>
        <v>Up to $10</v>
      </c>
      <c r="H135" s="1">
        <f t="shared" si="16"/>
        <v>123</v>
      </c>
      <c r="I135" s="1" t="str">
        <f t="shared" si="17"/>
        <v/>
      </c>
    </row>
    <row r="136" spans="1:9" hidden="1">
      <c r="A136" s="1" t="str">
        <f>'Cleaned Data'!A136</f>
        <v>Electric Vehicle Zone</v>
      </c>
      <c r="B136" s="1" t="str">
        <f>'Cleaned Data'!B136</f>
        <v>EVZ</v>
      </c>
      <c r="C136" s="24">
        <f>'Cleaned Data'!C136</f>
        <v>2.2859999999999998E-3</v>
      </c>
      <c r="D136" s="3">
        <f>'Cleaned Data'!D136</f>
        <v>3.4999999999999996E-3</v>
      </c>
      <c r="E136" s="1">
        <f t="shared" si="13"/>
        <v>2.2780269058295961E-3</v>
      </c>
      <c r="F136" s="24">
        <f t="shared" si="14"/>
        <v>7.9730941704037744E-6</v>
      </c>
      <c r="G136" s="1" t="str">
        <f t="shared" si="15"/>
        <v>Up to $10</v>
      </c>
      <c r="H136" s="1">
        <f t="shared" si="16"/>
        <v>161</v>
      </c>
      <c r="I136" s="1" t="str">
        <f t="shared" si="17"/>
        <v/>
      </c>
    </row>
    <row r="137" spans="1:9" hidden="1">
      <c r="A137" s="1" t="str">
        <f>'Cleaned Data'!A137</f>
        <v>Metahero</v>
      </c>
      <c r="B137" s="1" t="str">
        <f>'Cleaned Data'!B137</f>
        <v>HERO</v>
      </c>
      <c r="C137" s="24">
        <f>'Cleaned Data'!C137</f>
        <v>1.011E-3</v>
      </c>
      <c r="D137" s="3">
        <f>'Cleaned Data'!D137</f>
        <v>2E-3</v>
      </c>
      <c r="E137" s="1">
        <f t="shared" si="13"/>
        <v>1.0089820359281438E-3</v>
      </c>
      <c r="F137" s="24">
        <f t="shared" si="14"/>
        <v>2.0179640718561917E-6</v>
      </c>
      <c r="G137" s="1" t="str">
        <f t="shared" si="15"/>
        <v>Up to $10</v>
      </c>
      <c r="H137" s="1">
        <f t="shared" si="16"/>
        <v>178</v>
      </c>
      <c r="I137" s="1" t="str">
        <f t="shared" si="17"/>
        <v/>
      </c>
    </row>
    <row r="138" spans="1:9" hidden="1">
      <c r="A138" s="1" t="str">
        <f>'Cleaned Data'!A138</f>
        <v>Inter Milan Fan Token</v>
      </c>
      <c r="B138" s="1" t="str">
        <f>'Cleaned Data'!B138</f>
        <v>INTER</v>
      </c>
      <c r="C138" s="24">
        <f>'Cleaned Data'!C138</f>
        <v>0.53059999999999996</v>
      </c>
      <c r="D138" s="3">
        <f>'Cleaned Data'!D138</f>
        <v>5.9999999999999995E-4</v>
      </c>
      <c r="E138" s="1">
        <f t="shared" si="13"/>
        <v>0.53028183090145908</v>
      </c>
      <c r="F138" s="24">
        <f t="shared" si="14"/>
        <v>3.1816909854087694E-4</v>
      </c>
      <c r="G138" s="1" t="str">
        <f t="shared" si="15"/>
        <v>Up to $10</v>
      </c>
      <c r="H138" s="1">
        <f t="shared" si="16"/>
        <v>84</v>
      </c>
      <c r="I138" s="1" t="str">
        <f t="shared" si="17"/>
        <v/>
      </c>
    </row>
    <row r="139" spans="1:9" hidden="1">
      <c r="A139" s="1" t="str">
        <f>'Cleaned Data'!A139</f>
        <v>Darkpino</v>
      </c>
      <c r="B139" s="1" t="str">
        <f>'Cleaned Data'!B139</f>
        <v>DPINO</v>
      </c>
      <c r="C139" s="24">
        <f>'Cleaned Data'!C139</f>
        <v>5.1869999999999998E-3</v>
      </c>
      <c r="D139" s="3">
        <f>'Cleaned Data'!D139</f>
        <v>3.7000000000000002E-3</v>
      </c>
      <c r="E139" s="1">
        <f t="shared" si="13"/>
        <v>5.1678788482614323E-3</v>
      </c>
      <c r="F139" s="24">
        <f t="shared" si="14"/>
        <v>1.9121151738567439E-5</v>
      </c>
      <c r="G139" s="1" t="str">
        <f t="shared" si="15"/>
        <v>Up to $10</v>
      </c>
      <c r="H139" s="1">
        <f t="shared" si="16"/>
        <v>144</v>
      </c>
      <c r="I139" s="1" t="str">
        <f t="shared" si="17"/>
        <v/>
      </c>
    </row>
    <row r="140" spans="1:9" hidden="1">
      <c r="A140" s="1" t="str">
        <f>'Cleaned Data'!A140</f>
        <v>Velas</v>
      </c>
      <c r="B140" s="1" t="str">
        <f>'Cleaned Data'!B140</f>
        <v>VLX</v>
      </c>
      <c r="C140" s="24">
        <f>'Cleaned Data'!C140</f>
        <v>1.885E-3</v>
      </c>
      <c r="D140" s="3">
        <f>'Cleaned Data'!D140</f>
        <v>1E-4</v>
      </c>
      <c r="E140" s="1">
        <f t="shared" si="13"/>
        <v>1.8848115188481152E-3</v>
      </c>
      <c r="F140" s="24">
        <f t="shared" si="14"/>
        <v>1.8848115188475206E-7</v>
      </c>
      <c r="G140" s="1" t="str">
        <f t="shared" si="15"/>
        <v>Up to $10</v>
      </c>
      <c r="H140" s="1">
        <f t="shared" si="16"/>
        <v>187</v>
      </c>
      <c r="I140" s="1" t="str">
        <f t="shared" si="17"/>
        <v/>
      </c>
    </row>
    <row r="141" spans="1:9" hidden="1">
      <c r="A141" s="1" t="str">
        <f>'Cleaned Data'!A141</f>
        <v>Abelian</v>
      </c>
      <c r="B141" s="1" t="str">
        <f>'Cleaned Data'!B141</f>
        <v>ABEL</v>
      </c>
      <c r="C141" s="24">
        <f>'Cleaned Data'!C141</f>
        <v>4.9799999999999997E-2</v>
      </c>
      <c r="D141" s="3">
        <f>'Cleaned Data'!D141</f>
        <v>6.1999999999999998E-3</v>
      </c>
      <c r="E141" s="1">
        <f t="shared" si="13"/>
        <v>4.9493142516398331E-2</v>
      </c>
      <c r="F141" s="24">
        <f t="shared" si="14"/>
        <v>3.0685748360166631E-4</v>
      </c>
      <c r="G141" s="1" t="str">
        <f t="shared" si="15"/>
        <v>Up to $10</v>
      </c>
      <c r="H141" s="1">
        <f t="shared" si="16"/>
        <v>86</v>
      </c>
      <c r="I141" s="1" t="str">
        <f t="shared" si="17"/>
        <v/>
      </c>
    </row>
    <row r="142" spans="1:9" hidden="1">
      <c r="A142" s="1" t="str">
        <f>'Cleaned Data'!A142</f>
        <v>Electra Protocol</v>
      </c>
      <c r="B142" s="1" t="str">
        <f>'Cleaned Data'!B142</f>
        <v>XEP</v>
      </c>
      <c r="C142" s="24">
        <f>'Cleaned Data'!C142</f>
        <v>2.2479999999999999E-4</v>
      </c>
      <c r="D142" s="3">
        <f>'Cleaned Data'!D142</f>
        <v>1.5E-3</v>
      </c>
      <c r="E142" s="1">
        <f t="shared" si="13"/>
        <v>2.2446330504243632E-4</v>
      </c>
      <c r="F142" s="24">
        <f t="shared" si="14"/>
        <v>3.3669495756366899E-7</v>
      </c>
      <c r="G142" s="1" t="str">
        <f t="shared" si="15"/>
        <v>Up to $10</v>
      </c>
      <c r="H142" s="1">
        <f t="shared" si="16"/>
        <v>184</v>
      </c>
      <c r="I142" s="1" t="str">
        <f t="shared" si="17"/>
        <v/>
      </c>
    </row>
    <row r="143" spans="1:9" hidden="1">
      <c r="A143" s="1" t="str">
        <f>'Cleaned Data'!A143</f>
        <v>Kin</v>
      </c>
      <c r="B143" s="1" t="str">
        <f>'Cleaned Data'!B143</f>
        <v>KIN</v>
      </c>
      <c r="C143" s="24">
        <f>'Cleaned Data'!C143</f>
        <v>5.1470000000000002E-2</v>
      </c>
      <c r="D143" s="3">
        <f>'Cleaned Data'!D143</f>
        <v>4.6399999999999997E-2</v>
      </c>
      <c r="E143" s="1">
        <f t="shared" si="13"/>
        <v>4.918769113149847E-2</v>
      </c>
      <c r="F143" s="24">
        <f t="shared" si="14"/>
        <v>2.2823088685015314E-3</v>
      </c>
      <c r="G143" s="1" t="str">
        <f t="shared" si="15"/>
        <v>Up to $10</v>
      </c>
      <c r="H143" s="1">
        <f t="shared" si="16"/>
        <v>35</v>
      </c>
      <c r="I143" s="1" t="str">
        <f t="shared" si="17"/>
        <v/>
      </c>
    </row>
    <row r="144" spans="1:9" hidden="1">
      <c r="A144" s="1" t="str">
        <f>'Cleaned Data'!A144</f>
        <v>KiloEx</v>
      </c>
      <c r="B144" s="1" t="str">
        <f>'Cleaned Data'!B144</f>
        <v>KILO</v>
      </c>
      <c r="C144" s="24">
        <f>'Cleaned Data'!C144</f>
        <v>1.908E-2</v>
      </c>
      <c r="D144" s="3">
        <f>'Cleaned Data'!D144</f>
        <v>5.6999999999999993E-3</v>
      </c>
      <c r="E144" s="1">
        <f t="shared" si="13"/>
        <v>1.8971860395744257E-2</v>
      </c>
      <c r="F144" s="24">
        <f t="shared" si="14"/>
        <v>1.0813960425574282E-4</v>
      </c>
      <c r="G144" s="1" t="str">
        <f t="shared" si="15"/>
        <v>Up to $10</v>
      </c>
      <c r="H144" s="1">
        <f t="shared" si="16"/>
        <v>105</v>
      </c>
      <c r="I144" s="1" t="str">
        <f t="shared" si="17"/>
        <v/>
      </c>
    </row>
    <row r="145" spans="1:9" hidden="1">
      <c r="A145" s="1" t="str">
        <f>'Cleaned Data'!A145</f>
        <v>Privasea AI</v>
      </c>
      <c r="B145" s="1" t="str">
        <f>'Cleaned Data'!B145</f>
        <v>PRAI</v>
      </c>
      <c r="C145" s="24">
        <f>'Cleaned Data'!C145</f>
        <v>1.9529999999999999E-2</v>
      </c>
      <c r="D145" s="3">
        <f>'Cleaned Data'!D145</f>
        <v>2.9999999999999997E-4</v>
      </c>
      <c r="E145" s="1">
        <f t="shared" si="13"/>
        <v>1.9524142757172847E-2</v>
      </c>
      <c r="F145" s="24">
        <f t="shared" si="14"/>
        <v>5.8572428271522203E-6</v>
      </c>
      <c r="G145" s="1" t="str">
        <f t="shared" si="15"/>
        <v>Up to $10</v>
      </c>
      <c r="H145" s="1">
        <f t="shared" si="16"/>
        <v>166</v>
      </c>
      <c r="I145" s="1" t="str">
        <f t="shared" si="17"/>
        <v/>
      </c>
    </row>
    <row r="146" spans="1:9" hidden="1">
      <c r="A146" s="1" t="str">
        <f>'Cleaned Data'!A146</f>
        <v>MAD</v>
      </c>
      <c r="B146" s="1" t="str">
        <f>'Cleaned Data'!B146</f>
        <v>MAD</v>
      </c>
      <c r="C146" s="24">
        <f>'Cleaned Data'!C146</f>
        <v>5.3982000000000002E-2</v>
      </c>
      <c r="D146" s="3">
        <f>'Cleaned Data'!D146</f>
        <v>1.04E-2</v>
      </c>
      <c r="E146" s="1">
        <f t="shared" si="13"/>
        <v>5.3426365795724469E-2</v>
      </c>
      <c r="F146" s="24">
        <f t="shared" si="14"/>
        <v>5.5563420427553328E-4</v>
      </c>
      <c r="G146" s="1" t="str">
        <f t="shared" si="15"/>
        <v>Up to $10</v>
      </c>
      <c r="H146" s="1">
        <f t="shared" si="16"/>
        <v>66</v>
      </c>
      <c r="I146" s="1" t="str">
        <f t="shared" si="17"/>
        <v/>
      </c>
    </row>
    <row r="147" spans="1:9" hidden="1">
      <c r="A147" s="1" t="str">
        <f>'Cleaned Data'!A147</f>
        <v>Robonomics.network</v>
      </c>
      <c r="B147" s="1" t="str">
        <f>'Cleaned Data'!B147</f>
        <v>XRT</v>
      </c>
      <c r="C147" s="24">
        <f>'Cleaned Data'!C147</f>
        <v>2.34</v>
      </c>
      <c r="D147" s="3">
        <f>'Cleaned Data'!D147</f>
        <v>1.1999999999999999E-3</v>
      </c>
      <c r="E147" s="1">
        <f t="shared" si="13"/>
        <v>2.337195365561326</v>
      </c>
      <c r="F147" s="24">
        <f t="shared" si="14"/>
        <v>2.8046344386738475E-3</v>
      </c>
      <c r="G147" s="1" t="str">
        <f t="shared" si="15"/>
        <v>Up to $10</v>
      </c>
      <c r="H147" s="1">
        <f t="shared" si="16"/>
        <v>30</v>
      </c>
      <c r="I147" s="1" t="str">
        <f t="shared" si="17"/>
        <v/>
      </c>
    </row>
    <row r="148" spans="1:9" hidden="1">
      <c r="A148" s="1" t="str">
        <f>'Cleaned Data'!A148</f>
        <v>Alitas</v>
      </c>
      <c r="B148" s="1" t="str">
        <f>'Cleaned Data'!B148</f>
        <v>ALT</v>
      </c>
      <c r="C148" s="24">
        <f>'Cleaned Data'!C148</f>
        <v>3.3210000000000003E-2</v>
      </c>
      <c r="D148" s="3">
        <f>'Cleaned Data'!D148</f>
        <v>9.0000000000000011E-3</v>
      </c>
      <c r="E148" s="1">
        <f t="shared" si="13"/>
        <v>3.2913776015857293E-2</v>
      </c>
      <c r="F148" s="24">
        <f t="shared" si="14"/>
        <v>2.9622398414271001E-4</v>
      </c>
      <c r="G148" s="1" t="str">
        <f t="shared" si="15"/>
        <v>Up to $10</v>
      </c>
      <c r="H148" s="1">
        <f t="shared" si="16"/>
        <v>89</v>
      </c>
      <c r="I148" s="1" t="str">
        <f t="shared" si="17"/>
        <v/>
      </c>
    </row>
    <row r="149" spans="1:9" hidden="1">
      <c r="A149" s="1" t="str">
        <f>'Cleaned Data'!A149</f>
        <v>Bytecoin</v>
      </c>
      <c r="B149" s="1" t="str">
        <f>'Cleaned Data'!B149</f>
        <v>BCN</v>
      </c>
      <c r="C149" s="24">
        <f>'Cleaned Data'!C149</f>
        <v>2.1639999999999999E-5</v>
      </c>
      <c r="D149" s="3">
        <f>'Cleaned Data'!D149</f>
        <v>1E-3</v>
      </c>
      <c r="E149" s="1">
        <f t="shared" si="13"/>
        <v>2.1618381618381622E-5</v>
      </c>
      <c r="F149" s="24">
        <f t="shared" si="14"/>
        <v>2.1618381618377681E-8</v>
      </c>
      <c r="G149" s="1" t="str">
        <f t="shared" si="15"/>
        <v>Up to $10</v>
      </c>
      <c r="H149" s="1">
        <f t="shared" si="16"/>
        <v>190</v>
      </c>
      <c r="I149" s="1" t="str">
        <f t="shared" si="17"/>
        <v/>
      </c>
    </row>
    <row r="150" spans="1:9" hidden="1">
      <c r="A150" s="1" t="str">
        <f>'Cleaned Data'!A150</f>
        <v>Morpheus.Network</v>
      </c>
      <c r="B150" s="1" t="str">
        <f>'Cleaned Data'!B150</f>
        <v>MNW</v>
      </c>
      <c r="C150" s="24">
        <f>'Cleaned Data'!C150</f>
        <v>8.2830000000000001E-2</v>
      </c>
      <c r="D150" s="3">
        <f>'Cleaned Data'!D150</f>
        <v>1.72E-2</v>
      </c>
      <c r="E150" s="1">
        <f t="shared" si="13"/>
        <v>8.1429414077860793E-2</v>
      </c>
      <c r="F150" s="24">
        <f t="shared" si="14"/>
        <v>1.4005859221392081E-3</v>
      </c>
      <c r="G150" s="1" t="str">
        <f t="shared" si="15"/>
        <v>Up to $10</v>
      </c>
      <c r="H150" s="1">
        <f t="shared" si="16"/>
        <v>41</v>
      </c>
      <c r="I150" s="1" t="str">
        <f t="shared" si="17"/>
        <v/>
      </c>
    </row>
    <row r="151" spans="1:9" hidden="1">
      <c r="A151" s="1" t="str">
        <f>'Cleaned Data'!A151</f>
        <v>WELF</v>
      </c>
      <c r="B151" s="1" t="str">
        <f>'Cleaned Data'!B151</f>
        <v>WELF</v>
      </c>
      <c r="C151" s="24">
        <f>'Cleaned Data'!C151</f>
        <v>0.53049999999999997</v>
      </c>
      <c r="D151" s="3">
        <f>'Cleaned Data'!D151</f>
        <v>6.8000000000000005E-3</v>
      </c>
      <c r="E151" s="1">
        <f t="shared" si="13"/>
        <v>0.52691696464044502</v>
      </c>
      <c r="F151" s="24">
        <f t="shared" si="14"/>
        <v>3.5830353595549536E-3</v>
      </c>
      <c r="G151" s="1" t="str">
        <f t="shared" si="15"/>
        <v>Up to $10</v>
      </c>
      <c r="H151" s="1">
        <f t="shared" si="16"/>
        <v>25</v>
      </c>
      <c r="I151" s="1" t="str">
        <f t="shared" si="17"/>
        <v/>
      </c>
    </row>
    <row r="152" spans="1:9" hidden="1">
      <c r="A152" s="1" t="str">
        <f>'Cleaned Data'!A152</f>
        <v>Cypherium</v>
      </c>
      <c r="B152" s="1" t="str">
        <f>'Cleaned Data'!B152</f>
        <v>CPH</v>
      </c>
      <c r="C152" s="24">
        <f>'Cleaned Data'!C152</f>
        <v>8.4449999999999994E-3</v>
      </c>
      <c r="D152" s="3">
        <f>'Cleaned Data'!D152</f>
        <v>2.0000000000000001E-4</v>
      </c>
      <c r="E152" s="1">
        <f t="shared" si="13"/>
        <v>8.4433113377324533E-3</v>
      </c>
      <c r="F152" s="24">
        <f t="shared" si="14"/>
        <v>1.6886622675460483E-6</v>
      </c>
      <c r="G152" s="1" t="str">
        <f t="shared" si="15"/>
        <v>Up to $10</v>
      </c>
      <c r="H152" s="1">
        <f t="shared" si="16"/>
        <v>179</v>
      </c>
      <c r="I152" s="1" t="str">
        <f t="shared" si="17"/>
        <v/>
      </c>
    </row>
    <row r="153" spans="1:9" hidden="1">
      <c r="A153" s="1" t="str">
        <f>'Cleaned Data'!A153</f>
        <v>Dingocoin</v>
      </c>
      <c r="B153" s="1" t="str">
        <f>'Cleaned Data'!B153</f>
        <v>DINGO</v>
      </c>
      <c r="C153" s="24">
        <f>'Cleaned Data'!C153</f>
        <v>2.8370000000000001E-5</v>
      </c>
      <c r="D153" s="3">
        <f>'Cleaned Data'!D153</f>
        <v>3.7000000000000002E-3</v>
      </c>
      <c r="E153" s="1">
        <f t="shared" si="13"/>
        <v>2.8265417953571784E-5</v>
      </c>
      <c r="F153" s="24">
        <f t="shared" si="14"/>
        <v>1.0458204642821678E-7</v>
      </c>
      <c r="G153" s="1" t="str">
        <f t="shared" si="15"/>
        <v>Up to $10</v>
      </c>
      <c r="H153" s="1">
        <f t="shared" si="16"/>
        <v>189</v>
      </c>
      <c r="I153" s="1" t="str">
        <f t="shared" si="17"/>
        <v/>
      </c>
    </row>
    <row r="154" spans="1:9" hidden="1">
      <c r="A154" s="1" t="str">
        <f>'Cleaned Data'!A154</f>
        <v>IBStoken</v>
      </c>
      <c r="B154" s="1" t="str">
        <f>'Cleaned Data'!B154</f>
        <v>IBS</v>
      </c>
      <c r="C154" s="24">
        <f>'Cleaned Data'!C154</f>
        <v>8.03E-4</v>
      </c>
      <c r="D154" s="3">
        <f>'Cleaned Data'!D154</f>
        <v>2.0000000000000001E-4</v>
      </c>
      <c r="E154" s="1">
        <f t="shared" si="13"/>
        <v>8.028394321135773E-4</v>
      </c>
      <c r="F154" s="24">
        <f t="shared" si="14"/>
        <v>1.6056788642269948E-7</v>
      </c>
      <c r="G154" s="1" t="str">
        <f t="shared" si="15"/>
        <v>Up to $10</v>
      </c>
      <c r="H154" s="1">
        <f t="shared" si="16"/>
        <v>188</v>
      </c>
      <c r="I154" s="1" t="str">
        <f t="shared" si="17"/>
        <v/>
      </c>
    </row>
    <row r="155" spans="1:9" hidden="1">
      <c r="A155" s="1" t="str">
        <f>'Cleaned Data'!A155</f>
        <v>AIT Protocol</v>
      </c>
      <c r="B155" s="1" t="str">
        <f>'Cleaned Data'!B155</f>
        <v>AIT</v>
      </c>
      <c r="C155" s="24">
        <f>'Cleaned Data'!C155</f>
        <v>1.094E-2</v>
      </c>
      <c r="D155" s="3">
        <f>'Cleaned Data'!D155</f>
        <v>1.18E-2</v>
      </c>
      <c r="E155" s="1">
        <f t="shared" si="13"/>
        <v>1.0812413520458588E-2</v>
      </c>
      <c r="F155" s="24">
        <f t="shared" si="14"/>
        <v>1.275864795414125E-4</v>
      </c>
      <c r="G155" s="1" t="str">
        <f t="shared" si="15"/>
        <v>Up to $10</v>
      </c>
      <c r="H155" s="1">
        <f t="shared" si="16"/>
        <v>101</v>
      </c>
      <c r="I155" s="1" t="str">
        <f t="shared" si="17"/>
        <v/>
      </c>
    </row>
    <row r="156" spans="1:9" hidden="1">
      <c r="A156" s="1" t="str">
        <f>'Cleaned Data'!A156</f>
        <v>Bitcoin 2</v>
      </c>
      <c r="B156" s="1" t="str">
        <f>'Cleaned Data'!B156</f>
        <v>BTC2</v>
      </c>
      <c r="C156" s="24">
        <f>'Cleaned Data'!C156</f>
        <v>0.17610000000000001</v>
      </c>
      <c r="D156" s="3">
        <f>'Cleaned Data'!D156</f>
        <v>3.3399999999999999E-2</v>
      </c>
      <c r="E156" s="1">
        <f t="shared" si="13"/>
        <v>0.17040836075091928</v>
      </c>
      <c r="F156" s="24">
        <f t="shared" si="14"/>
        <v>5.6916392490807266E-3</v>
      </c>
      <c r="G156" s="1" t="str">
        <f t="shared" si="15"/>
        <v>Up to $10</v>
      </c>
      <c r="H156" s="1">
        <f t="shared" si="16"/>
        <v>19</v>
      </c>
      <c r="I156" s="1" t="str">
        <f t="shared" si="17"/>
        <v/>
      </c>
    </row>
    <row r="157" spans="1:9" hidden="1">
      <c r="A157" s="1" t="str">
        <f>'Cleaned Data'!A157</f>
        <v>OmniFlix Network</v>
      </c>
      <c r="B157" s="1" t="str">
        <f>'Cleaned Data'!B157</f>
        <v>FLIX</v>
      </c>
      <c r="C157" s="24">
        <f>'Cleaned Data'!C157</f>
        <v>1.286E-2</v>
      </c>
      <c r="D157" s="3">
        <f>'Cleaned Data'!D157</f>
        <v>2.0000000000000001E-4</v>
      </c>
      <c r="E157" s="1">
        <f t="shared" si="13"/>
        <v>1.285742851429714E-2</v>
      </c>
      <c r="F157" s="24">
        <f t="shared" si="14"/>
        <v>2.5714857028596994E-6</v>
      </c>
      <c r="G157" s="1" t="str">
        <f t="shared" si="15"/>
        <v>Up to $10</v>
      </c>
      <c r="H157" s="1">
        <f t="shared" si="16"/>
        <v>174</v>
      </c>
      <c r="I157" s="1" t="str">
        <f t="shared" si="17"/>
        <v/>
      </c>
    </row>
    <row r="158" spans="1:9" hidden="1">
      <c r="A158" s="1" t="str">
        <f>'Cleaned Data'!A158</f>
        <v>TRVL (Dtravel)</v>
      </c>
      <c r="B158" s="1" t="str">
        <f>'Cleaned Data'!B158</f>
        <v>TRVL</v>
      </c>
      <c r="C158" s="24">
        <f>'Cleaned Data'!C158</f>
        <v>7.7060000000000002E-3</v>
      </c>
      <c r="D158" s="3">
        <f>'Cleaned Data'!D158</f>
        <v>8.9999999999999998E-4</v>
      </c>
      <c r="E158" s="1">
        <f t="shared" si="13"/>
        <v>7.6990708362473783E-3</v>
      </c>
      <c r="F158" s="24">
        <f t="shared" si="14"/>
        <v>6.9291637526218419E-6</v>
      </c>
      <c r="G158" s="1" t="str">
        <f t="shared" si="15"/>
        <v>Up to $10</v>
      </c>
      <c r="H158" s="1">
        <f t="shared" si="16"/>
        <v>163</v>
      </c>
      <c r="I158" s="1" t="str">
        <f t="shared" si="17"/>
        <v/>
      </c>
    </row>
    <row r="159" spans="1:9" hidden="1">
      <c r="A159" s="1" t="str">
        <f>'Cleaned Data'!A159</f>
        <v>DeBox</v>
      </c>
      <c r="B159" s="1" t="str">
        <f>'Cleaned Data'!B159</f>
        <v>BOX</v>
      </c>
      <c r="C159" s="24">
        <f>'Cleaned Data'!C159</f>
        <v>1.06E-2</v>
      </c>
      <c r="D159" s="3">
        <f>'Cleaned Data'!D159</f>
        <v>1.61E-2</v>
      </c>
      <c r="E159" s="1">
        <f t="shared" si="13"/>
        <v>1.0432044090148607E-2</v>
      </c>
      <c r="F159" s="24">
        <f t="shared" si="14"/>
        <v>1.6795590985139303E-4</v>
      </c>
      <c r="G159" s="1" t="str">
        <f t="shared" si="15"/>
        <v>Up to $10</v>
      </c>
      <c r="H159" s="1">
        <f t="shared" si="16"/>
        <v>95</v>
      </c>
      <c r="I159" s="1" t="str">
        <f t="shared" si="17"/>
        <v/>
      </c>
    </row>
    <row r="160" spans="1:9" hidden="1">
      <c r="A160" s="1" t="str">
        <f>'Cleaned Data'!A160</f>
        <v>Akita Inu</v>
      </c>
      <c r="B160" s="1" t="str">
        <f>'Cleaned Data'!B160</f>
        <v>AKITA</v>
      </c>
      <c r="C160" s="24">
        <f>'Cleaned Data'!C160</f>
        <v>7.4697E-2</v>
      </c>
      <c r="D160" s="3">
        <f>'Cleaned Data'!D160</f>
        <v>1.1000000000000001E-3</v>
      </c>
      <c r="E160" s="1">
        <f t="shared" si="13"/>
        <v>7.4614923584057524E-2</v>
      </c>
      <c r="F160" s="24">
        <f t="shared" si="14"/>
        <v>8.2076415942475278E-5</v>
      </c>
      <c r="G160" s="1" t="str">
        <f t="shared" si="15"/>
        <v>Up to $10</v>
      </c>
      <c r="H160" s="1">
        <f t="shared" si="16"/>
        <v>116</v>
      </c>
      <c r="I160" s="1" t="str">
        <f t="shared" si="17"/>
        <v/>
      </c>
    </row>
    <row r="161" spans="1:9" hidden="1">
      <c r="A161" s="1" t="str">
        <f>'Cleaned Data'!A161</f>
        <v>Hive Intelligence</v>
      </c>
      <c r="B161" s="1" t="str">
        <f>'Cleaned Data'!B161</f>
        <v>HINT</v>
      </c>
      <c r="C161" s="24">
        <f>'Cleaned Data'!C161</f>
        <v>6.9080000000000001E-3</v>
      </c>
      <c r="D161" s="3">
        <f>'Cleaned Data'!D161</f>
        <v>1.1999999999999999E-3</v>
      </c>
      <c r="E161" s="1">
        <f t="shared" si="13"/>
        <v>6.8997203355972824E-3</v>
      </c>
      <c r="F161" s="24">
        <f t="shared" si="14"/>
        <v>8.2796644027176639E-6</v>
      </c>
      <c r="G161" s="1" t="str">
        <f t="shared" si="15"/>
        <v>Up to $10</v>
      </c>
      <c r="H161" s="1">
        <f t="shared" si="16"/>
        <v>159</v>
      </c>
      <c r="I161" s="1" t="str">
        <f t="shared" si="17"/>
        <v/>
      </c>
    </row>
    <row r="162" spans="1:9" hidden="1">
      <c r="A162" s="1" t="str">
        <f>'Cleaned Data'!A162</f>
        <v>Sentio AI</v>
      </c>
      <c r="B162" s="1" t="str">
        <f>'Cleaned Data'!B162</f>
        <v>SEN</v>
      </c>
      <c r="C162" s="24">
        <f>'Cleaned Data'!C162</f>
        <v>2.632E-2</v>
      </c>
      <c r="D162" s="3">
        <f>'Cleaned Data'!D162</f>
        <v>2.6699999999999998E-2</v>
      </c>
      <c r="E162" s="1">
        <f t="shared" si="13"/>
        <v>2.563553131391838E-2</v>
      </c>
      <c r="F162" s="24">
        <f t="shared" si="14"/>
        <v>6.8446868608161918E-4</v>
      </c>
      <c r="G162" s="1" t="str">
        <f t="shared" si="15"/>
        <v>Up to $10</v>
      </c>
      <c r="H162" s="1">
        <f t="shared" si="16"/>
        <v>63</v>
      </c>
      <c r="I162" s="1" t="str">
        <f t="shared" si="17"/>
        <v/>
      </c>
    </row>
    <row r="163" spans="1:9" hidden="1">
      <c r="A163" s="1" t="str">
        <f>'Cleaned Data'!A163</f>
        <v>Sylo</v>
      </c>
      <c r="B163" s="1" t="str">
        <f>'Cleaned Data'!B163</f>
        <v>SYLO</v>
      </c>
      <c r="C163" s="24">
        <f>'Cleaned Data'!C163</f>
        <v>4.2319999999999999E-4</v>
      </c>
      <c r="D163" s="3">
        <f>'Cleaned Data'!D163</f>
        <v>9.7000000000000003E-3</v>
      </c>
      <c r="E163" s="1">
        <f t="shared" si="13"/>
        <v>4.1913439635535304E-4</v>
      </c>
      <c r="F163" s="24">
        <f t="shared" si="14"/>
        <v>4.0656036446469457E-6</v>
      </c>
      <c r="G163" s="1" t="str">
        <f t="shared" si="15"/>
        <v>Up to $10</v>
      </c>
      <c r="H163" s="1">
        <f t="shared" si="16"/>
        <v>169</v>
      </c>
      <c r="I163" s="1" t="str">
        <f t="shared" si="17"/>
        <v/>
      </c>
    </row>
    <row r="164" spans="1:9" hidden="1">
      <c r="A164" s="1" t="str">
        <f>'Cleaned Data'!A164</f>
        <v>PornRocket</v>
      </c>
      <c r="B164" s="1" t="str">
        <f>'Cleaned Data'!B164</f>
        <v>PORNROCKET</v>
      </c>
      <c r="C164" s="24">
        <f>'Cleaned Data'!C164</f>
        <v>8.6726999999999999E-2</v>
      </c>
      <c r="D164" s="3">
        <f>'Cleaned Data'!D164</f>
        <v>0</v>
      </c>
      <c r="E164" s="1">
        <f t="shared" si="13"/>
        <v>8.6726999999999999E-2</v>
      </c>
      <c r="F164" s="24">
        <f t="shared" si="14"/>
        <v>0</v>
      </c>
      <c r="G164" s="1" t="str">
        <f t="shared" si="15"/>
        <v>Up to $10</v>
      </c>
      <c r="H164" s="1">
        <f t="shared" si="16"/>
        <v>191</v>
      </c>
      <c r="I164" s="1" t="str">
        <f t="shared" si="17"/>
        <v/>
      </c>
    </row>
    <row r="165" spans="1:9" hidden="1">
      <c r="A165" s="1" t="str">
        <f>'Cleaned Data'!A165</f>
        <v>FNCY</v>
      </c>
      <c r="B165" s="1" t="str">
        <f>'Cleaned Data'!B165</f>
        <v>FNCY</v>
      </c>
      <c r="C165" s="24">
        <f>'Cleaned Data'!C165</f>
        <v>2.2959999999999999E-3</v>
      </c>
      <c r="D165" s="3">
        <f>'Cleaned Data'!D165</f>
        <v>1E-3</v>
      </c>
      <c r="E165" s="1">
        <f t="shared" si="13"/>
        <v>2.2937062937062936E-3</v>
      </c>
      <c r="F165" s="24">
        <f t="shared" si="14"/>
        <v>2.2937062937062463E-6</v>
      </c>
      <c r="G165" s="1" t="str">
        <f t="shared" si="15"/>
        <v>Up to $10</v>
      </c>
      <c r="H165" s="1">
        <f t="shared" si="16"/>
        <v>175</v>
      </c>
      <c r="I165" s="1" t="str">
        <f t="shared" si="17"/>
        <v/>
      </c>
    </row>
    <row r="166" spans="1:9" hidden="1">
      <c r="A166" s="1" t="str">
        <f>'Cleaned Data'!A166</f>
        <v>Hoge Finance</v>
      </c>
      <c r="B166" s="1" t="str">
        <f>'Cleaned Data'!B166</f>
        <v>HOGE</v>
      </c>
      <c r="C166" s="24">
        <f>'Cleaned Data'!C166</f>
        <v>5.638E-2</v>
      </c>
      <c r="D166" s="3">
        <f>'Cleaned Data'!D166</f>
        <v>2.4799999999999999E-2</v>
      </c>
      <c r="E166" s="1">
        <f t="shared" si="13"/>
        <v>5.5015612802498053E-2</v>
      </c>
      <c r="F166" s="24">
        <f t="shared" si="14"/>
        <v>1.364387197501947E-3</v>
      </c>
      <c r="G166" s="1" t="str">
        <f t="shared" si="15"/>
        <v>Up to $10</v>
      </c>
      <c r="H166" s="1">
        <f t="shared" si="16"/>
        <v>42</v>
      </c>
      <c r="I166" s="1" t="str">
        <f t="shared" si="17"/>
        <v/>
      </c>
    </row>
    <row r="167" spans="1:9" hidden="1">
      <c r="A167" s="1" t="str">
        <f>'Cleaned Data'!A167</f>
        <v>Big Data Protocol</v>
      </c>
      <c r="B167" s="1" t="str">
        <f>'Cleaned Data'!B167</f>
        <v>BDP</v>
      </c>
      <c r="C167" s="24">
        <f>'Cleaned Data'!C167</f>
        <v>4.8439999999999997E-2</v>
      </c>
      <c r="D167" s="3">
        <f>'Cleaned Data'!D167</f>
        <v>1.1000000000000001E-3</v>
      </c>
      <c r="E167" s="1">
        <f t="shared" si="13"/>
        <v>4.8386774547997197E-2</v>
      </c>
      <c r="F167" s="24">
        <f t="shared" si="14"/>
        <v>5.3225452002800266E-5</v>
      </c>
      <c r="G167" s="1" t="str">
        <f t="shared" si="15"/>
        <v>Up to $10</v>
      </c>
      <c r="H167" s="1">
        <f t="shared" si="16"/>
        <v>125</v>
      </c>
      <c r="I167" s="1" t="str">
        <f t="shared" si="17"/>
        <v/>
      </c>
    </row>
    <row r="168" spans="1:9" hidden="1">
      <c r="A168" s="1" t="str">
        <f>'Cleaned Data'!A168</f>
        <v>Byte</v>
      </c>
      <c r="B168" s="1" t="str">
        <f>'Cleaned Data'!B168</f>
        <v>BYTE</v>
      </c>
      <c r="C168" s="24">
        <f>'Cleaned Data'!C168</f>
        <v>5.2623999999999997E-2</v>
      </c>
      <c r="D168" s="3">
        <f>'Cleaned Data'!D168</f>
        <v>4.0000000000000002E-4</v>
      </c>
      <c r="E168" s="1">
        <f t="shared" si="13"/>
        <v>5.2602958816473408E-2</v>
      </c>
      <c r="F168" s="24">
        <f t="shared" si="14"/>
        <v>2.104118352658918E-5</v>
      </c>
      <c r="G168" s="1" t="str">
        <f t="shared" si="15"/>
        <v>Up to $10</v>
      </c>
      <c r="H168" s="1">
        <f t="shared" si="16"/>
        <v>141</v>
      </c>
      <c r="I168" s="1" t="str">
        <f t="shared" si="17"/>
        <v/>
      </c>
    </row>
    <row r="169" spans="1:9" hidden="1">
      <c r="A169" s="1" t="str">
        <f>'Cleaned Data'!A169</f>
        <v>Universe Boss Coin</v>
      </c>
      <c r="B169" s="1" t="str">
        <f>'Cleaned Data'!B169</f>
        <v>UBC</v>
      </c>
      <c r="C169" s="24">
        <f>'Cleaned Data'!C169</f>
        <v>2.5270000000000002E-3</v>
      </c>
      <c r="D169" s="3">
        <f>'Cleaned Data'!D169</f>
        <v>5.8999999999999999E-3</v>
      </c>
      <c r="E169" s="1">
        <f t="shared" si="13"/>
        <v>2.5121781489213643E-3</v>
      </c>
      <c r="F169" s="24">
        <f t="shared" si="14"/>
        <v>1.4821851078635883E-5</v>
      </c>
      <c r="G169" s="1" t="str">
        <f t="shared" si="15"/>
        <v>Up to $10</v>
      </c>
      <c r="H169" s="1">
        <f t="shared" si="16"/>
        <v>149</v>
      </c>
      <c r="I169" s="1" t="str">
        <f t="shared" si="17"/>
        <v/>
      </c>
    </row>
    <row r="170" spans="1:9" hidden="1">
      <c r="A170" s="1" t="str">
        <f>'Cleaned Data'!A170</f>
        <v>ADAMANT Messenger</v>
      </c>
      <c r="B170" s="1" t="str">
        <f>'Cleaned Data'!B170</f>
        <v>ADM</v>
      </c>
      <c r="C170" s="24">
        <f>'Cleaned Data'!C170</f>
        <v>2.283E-2</v>
      </c>
      <c r="D170" s="3">
        <f>'Cleaned Data'!D170</f>
        <v>3.2000000000000002E-3</v>
      </c>
      <c r="E170" s="1">
        <f t="shared" si="13"/>
        <v>2.275717703349282E-2</v>
      </c>
      <c r="F170" s="24">
        <f t="shared" si="14"/>
        <v>7.2822966507180009E-5</v>
      </c>
      <c r="G170" s="1" t="str">
        <f t="shared" si="15"/>
        <v>Up to $10</v>
      </c>
      <c r="H170" s="1">
        <f t="shared" si="16"/>
        <v>121</v>
      </c>
      <c r="I170" s="1" t="str">
        <f t="shared" si="17"/>
        <v/>
      </c>
    </row>
    <row r="171" spans="1:9" hidden="1">
      <c r="A171" s="1" t="str">
        <f>'Cleaned Data'!A171</f>
        <v>CHADETTE</v>
      </c>
      <c r="B171" s="1" t="str">
        <f>'Cleaned Data'!B171</f>
        <v>CHADETTE</v>
      </c>
      <c r="C171" s="24">
        <f>'Cleaned Data'!C171</f>
        <v>2.6020000000000001E-3</v>
      </c>
      <c r="D171" s="3">
        <f>'Cleaned Data'!D171</f>
        <v>8.0000000000000002E-3</v>
      </c>
      <c r="E171" s="1">
        <f t="shared" si="13"/>
        <v>2.5813492063492065E-3</v>
      </c>
      <c r="F171" s="24">
        <f t="shared" si="14"/>
        <v>2.0650793650793618E-5</v>
      </c>
      <c r="G171" s="1" t="str">
        <f t="shared" si="15"/>
        <v>Up to $10</v>
      </c>
      <c r="H171" s="1">
        <f t="shared" si="16"/>
        <v>142</v>
      </c>
      <c r="I171" s="1" t="str">
        <f t="shared" si="17"/>
        <v/>
      </c>
    </row>
    <row r="172" spans="1:9" hidden="1">
      <c r="A172" s="1" t="str">
        <f>'Cleaned Data'!A172</f>
        <v>NULS</v>
      </c>
      <c r="B172" s="1" t="str">
        <f>'Cleaned Data'!B172</f>
        <v>NULS</v>
      </c>
      <c r="C172" s="24">
        <f>'Cleaned Data'!C172</f>
        <v>1.772E-2</v>
      </c>
      <c r="D172" s="3">
        <f>'Cleaned Data'!D172</f>
        <v>8.1000000000000013E-3</v>
      </c>
      <c r="E172" s="1">
        <f t="shared" si="13"/>
        <v>1.7577621267731377E-2</v>
      </c>
      <c r="F172" s="24">
        <f t="shared" si="14"/>
        <v>1.4237873226862277E-4</v>
      </c>
      <c r="G172" s="1" t="str">
        <f t="shared" si="15"/>
        <v>Up to $10</v>
      </c>
      <c r="H172" s="1">
        <f t="shared" si="16"/>
        <v>98</v>
      </c>
      <c r="I172" s="1" t="str">
        <f t="shared" si="17"/>
        <v/>
      </c>
    </row>
    <row r="173" spans="1:9" hidden="1">
      <c r="A173" s="1" t="str">
        <f>'Cleaned Data'!A173</f>
        <v>Quq</v>
      </c>
      <c r="B173" s="1" t="str">
        <f>'Cleaned Data'!B173</f>
        <v>QUQ</v>
      </c>
      <c r="C173" s="24">
        <f>'Cleaned Data'!C173</f>
        <v>2.003E-3</v>
      </c>
      <c r="D173" s="3">
        <f>'Cleaned Data'!D173</f>
        <v>1.5800000000000002E-2</v>
      </c>
      <c r="E173" s="1">
        <f t="shared" si="13"/>
        <v>1.9718448513486907E-3</v>
      </c>
      <c r="F173" s="24">
        <f t="shared" si="14"/>
        <v>3.1155148651309302E-5</v>
      </c>
      <c r="G173" s="1" t="str">
        <f t="shared" si="15"/>
        <v>Up to $10</v>
      </c>
      <c r="H173" s="1">
        <f t="shared" si="16"/>
        <v>132</v>
      </c>
      <c r="I173" s="1" t="str">
        <f t="shared" si="17"/>
        <v/>
      </c>
    </row>
    <row r="174" spans="1:9" hidden="1">
      <c r="A174" s="1" t="str">
        <f>'Cleaned Data'!A174</f>
        <v>RigoBlock</v>
      </c>
      <c r="B174" s="1" t="str">
        <f>'Cleaned Data'!B174</f>
        <v>GRG</v>
      </c>
      <c r="C174" s="24">
        <f>'Cleaned Data'!C174</f>
        <v>0.73839999999999995</v>
      </c>
      <c r="D174" s="3">
        <f>'Cleaned Data'!D174</f>
        <v>8.9999999999999998E-4</v>
      </c>
      <c r="E174" s="1">
        <f t="shared" si="13"/>
        <v>0.73773603756619044</v>
      </c>
      <c r="F174" s="24">
        <f t="shared" si="14"/>
        <v>6.6396243380950626E-4</v>
      </c>
      <c r="G174" s="1" t="str">
        <f t="shared" si="15"/>
        <v>Up to $10</v>
      </c>
      <c r="H174" s="1">
        <f t="shared" si="16"/>
        <v>64</v>
      </c>
      <c r="I174" s="1" t="str">
        <f t="shared" si="17"/>
        <v/>
      </c>
    </row>
    <row r="175" spans="1:9" hidden="1">
      <c r="A175" s="1" t="str">
        <f>'Cleaned Data'!A175</f>
        <v>LEGIT</v>
      </c>
      <c r="B175" s="1" t="str">
        <f>'Cleaned Data'!B175</f>
        <v>LEGIT</v>
      </c>
      <c r="C175" s="24">
        <f>'Cleaned Data'!C175</f>
        <v>2.032E-3</v>
      </c>
      <c r="D175" s="3">
        <f>'Cleaned Data'!D175</f>
        <v>1.5600000000000001E-2</v>
      </c>
      <c r="E175" s="1">
        <f t="shared" si="13"/>
        <v>2.0007877116975186E-3</v>
      </c>
      <c r="F175" s="24">
        <f t="shared" si="14"/>
        <v>3.1212288302481361E-5</v>
      </c>
      <c r="G175" s="1" t="str">
        <f t="shared" si="15"/>
        <v>Up to $10</v>
      </c>
      <c r="H175" s="1">
        <f t="shared" si="16"/>
        <v>131</v>
      </c>
      <c r="I175" s="1" t="str">
        <f t="shared" si="17"/>
        <v/>
      </c>
    </row>
    <row r="176" spans="1:9" hidden="1">
      <c r="A176" s="1" t="str">
        <f>'Cleaned Data'!A176</f>
        <v>Super Zero Protocol</v>
      </c>
      <c r="B176" s="1" t="str">
        <f>'Cleaned Data'!B176</f>
        <v>SERO</v>
      </c>
      <c r="C176" s="24">
        <f>'Cleaned Data'!C176</f>
        <v>4.5649999999999996E-3</v>
      </c>
      <c r="D176" s="3">
        <f>'Cleaned Data'!D176</f>
        <v>1E-3</v>
      </c>
      <c r="E176" s="1">
        <f t="shared" si="13"/>
        <v>4.5604395604395605E-3</v>
      </c>
      <c r="F176" s="24">
        <f t="shared" si="14"/>
        <v>4.5604395604390696E-6</v>
      </c>
      <c r="G176" s="1" t="str">
        <f t="shared" si="15"/>
        <v>Up to $10</v>
      </c>
      <c r="H176" s="1">
        <f t="shared" si="16"/>
        <v>168</v>
      </c>
      <c r="I176" s="1" t="str">
        <f t="shared" si="17"/>
        <v/>
      </c>
    </row>
    <row r="177" spans="1:9" hidden="1">
      <c r="A177" s="1" t="str">
        <f>'Cleaned Data'!A177</f>
        <v>Letit</v>
      </c>
      <c r="B177" s="1" t="str">
        <f>'Cleaned Data'!B177</f>
        <v>LETIT</v>
      </c>
      <c r="C177" s="24">
        <f>'Cleaned Data'!C177</f>
        <v>3.1009999999999999E-2</v>
      </c>
      <c r="D177" s="3">
        <f>'Cleaned Data'!D177</f>
        <v>1.21E-2</v>
      </c>
      <c r="E177" s="1">
        <f t="shared" si="13"/>
        <v>3.0639264894773244E-2</v>
      </c>
      <c r="F177" s="24">
        <f t="shared" si="14"/>
        <v>3.707351052267549E-4</v>
      </c>
      <c r="G177" s="1" t="str">
        <f t="shared" si="15"/>
        <v>Up to $10</v>
      </c>
      <c r="H177" s="1">
        <f t="shared" si="16"/>
        <v>79</v>
      </c>
      <c r="I177" s="1" t="str">
        <f t="shared" si="17"/>
        <v/>
      </c>
    </row>
    <row r="178" spans="1:9" hidden="1">
      <c r="A178" s="1" t="str">
        <f>'Cleaned Data'!A178</f>
        <v>GoChain</v>
      </c>
      <c r="B178" s="1" t="str">
        <f>'Cleaned Data'!B178</f>
        <v>GO</v>
      </c>
      <c r="C178" s="24">
        <f>'Cleaned Data'!C178</f>
        <v>1.5070000000000001E-3</v>
      </c>
      <c r="D178" s="3">
        <f>'Cleaned Data'!D178</f>
        <v>2.9999999999999997E-4</v>
      </c>
      <c r="E178" s="1">
        <f t="shared" si="13"/>
        <v>1.5065480355893233E-3</v>
      </c>
      <c r="F178" s="24">
        <f t="shared" si="14"/>
        <v>4.5196441067680594E-7</v>
      </c>
      <c r="G178" s="1" t="str">
        <f t="shared" si="15"/>
        <v>Up to $10</v>
      </c>
      <c r="H178" s="1">
        <f t="shared" si="16"/>
        <v>182</v>
      </c>
      <c r="I178" s="1" t="str">
        <f t="shared" si="17"/>
        <v/>
      </c>
    </row>
    <row r="179" spans="1:9" hidden="1">
      <c r="A179" s="1" t="str">
        <f>'Cleaned Data'!A179</f>
        <v>BlackCardCoin</v>
      </c>
      <c r="B179" s="1" t="str">
        <f>'Cleaned Data'!B179</f>
        <v>BCCOIN</v>
      </c>
      <c r="C179" s="24">
        <f>'Cleaned Data'!C179</f>
        <v>0.1976</v>
      </c>
      <c r="D179" s="3">
        <f>'Cleaned Data'!D179</f>
        <v>1.2E-2</v>
      </c>
      <c r="E179" s="1">
        <f t="shared" si="13"/>
        <v>0.19525691699604741</v>
      </c>
      <c r="F179" s="24">
        <f t="shared" si="14"/>
        <v>2.3430830039525841E-3</v>
      </c>
      <c r="G179" s="1" t="str">
        <f t="shared" si="15"/>
        <v>Up to $10</v>
      </c>
      <c r="H179" s="1">
        <f t="shared" si="16"/>
        <v>33</v>
      </c>
      <c r="I179" s="1" t="str">
        <f t="shared" si="17"/>
        <v/>
      </c>
    </row>
    <row r="180" spans="1:9" hidden="1">
      <c r="A180" s="1" t="str">
        <f>'Cleaned Data'!A180</f>
        <v>Habibi</v>
      </c>
      <c r="B180" s="1" t="str">
        <f>'Cleaned Data'!B180</f>
        <v>HABIBI</v>
      </c>
      <c r="C180" s="24">
        <f>'Cleaned Data'!C180</f>
        <v>2.4190000000000001E-3</v>
      </c>
      <c r="D180" s="3">
        <f>'Cleaned Data'!D180</f>
        <v>9.7000000000000003E-3</v>
      </c>
      <c r="E180" s="1">
        <f t="shared" si="13"/>
        <v>2.3957611171635139E-3</v>
      </c>
      <c r="F180" s="24">
        <f t="shared" si="14"/>
        <v>2.3238882836486285E-5</v>
      </c>
      <c r="G180" s="1" t="str">
        <f t="shared" si="15"/>
        <v>Up to $10</v>
      </c>
      <c r="H180" s="1">
        <f t="shared" si="16"/>
        <v>137</v>
      </c>
      <c r="I180" s="1" t="str">
        <f t="shared" si="17"/>
        <v/>
      </c>
    </row>
    <row r="181" spans="1:9" hidden="1">
      <c r="A181" s="1" t="str">
        <f>'Cleaned Data'!A181</f>
        <v>Striker League</v>
      </c>
      <c r="B181" s="1" t="str">
        <f>'Cleaned Data'!B181</f>
        <v>MBS</v>
      </c>
      <c r="C181" s="24">
        <f>'Cleaned Data'!C181</f>
        <v>3.1489999999999999E-3</v>
      </c>
      <c r="D181" s="3">
        <f>'Cleaned Data'!D181</f>
        <v>0</v>
      </c>
      <c r="E181" s="1">
        <f t="shared" si="13"/>
        <v>3.1489999999999999E-3</v>
      </c>
      <c r="F181" s="24">
        <f t="shared" si="14"/>
        <v>0</v>
      </c>
      <c r="G181" s="1" t="str">
        <f t="shared" si="15"/>
        <v>Up to $10</v>
      </c>
      <c r="H181" s="1">
        <f t="shared" si="16"/>
        <v>191</v>
      </c>
      <c r="I181" s="1" t="str">
        <f t="shared" si="17"/>
        <v/>
      </c>
    </row>
    <row r="182" spans="1:9" hidden="1">
      <c r="A182" s="1" t="str">
        <f>'Cleaned Data'!A182</f>
        <v>Ctrl Wallet</v>
      </c>
      <c r="B182" s="1" t="str">
        <f>'Cleaned Data'!B182</f>
        <v>CTRL</v>
      </c>
      <c r="C182" s="24">
        <f>'Cleaned Data'!C182</f>
        <v>7.8279999999999999E-3</v>
      </c>
      <c r="D182" s="3">
        <f>'Cleaned Data'!D182</f>
        <v>0.18789999999999998</v>
      </c>
      <c r="E182" s="1">
        <f t="shared" si="13"/>
        <v>6.5897802845357352E-3</v>
      </c>
      <c r="F182" s="24">
        <f t="shared" si="14"/>
        <v>1.2382197154642647E-3</v>
      </c>
      <c r="G182" s="1" t="str">
        <f t="shared" si="15"/>
        <v>Up to $10</v>
      </c>
      <c r="H182" s="1">
        <f t="shared" si="16"/>
        <v>46</v>
      </c>
      <c r="I182" s="1" t="str">
        <f t="shared" si="17"/>
        <v/>
      </c>
    </row>
    <row r="183" spans="1:9" hidden="1">
      <c r="A183" s="1" t="str">
        <f>'Cleaned Data'!A183</f>
        <v>Etherisc DIP Token</v>
      </c>
      <c r="B183" s="1" t="str">
        <f>'Cleaned Data'!B183</f>
        <v>DIP</v>
      </c>
      <c r="C183" s="24">
        <f>'Cleaned Data'!C183</f>
        <v>6.6490000000000004E-3</v>
      </c>
      <c r="D183" s="3">
        <f>'Cleaned Data'!D183</f>
        <v>0</v>
      </c>
      <c r="E183" s="1">
        <f t="shared" si="13"/>
        <v>6.6490000000000004E-3</v>
      </c>
      <c r="F183" s="24">
        <f t="shared" si="14"/>
        <v>0</v>
      </c>
      <c r="G183" s="1" t="str">
        <f t="shared" si="15"/>
        <v>Up to $10</v>
      </c>
      <c r="H183" s="1">
        <f t="shared" si="16"/>
        <v>191</v>
      </c>
      <c r="I183" s="1" t="str">
        <f t="shared" si="17"/>
        <v/>
      </c>
    </row>
    <row r="184" spans="1:9" hidden="1">
      <c r="A184" s="1" t="str">
        <f>'Cleaned Data'!A184</f>
        <v>Rubic</v>
      </c>
      <c r="B184" s="1" t="str">
        <f>'Cleaned Data'!B184</f>
        <v>RBC</v>
      </c>
      <c r="C184" s="24">
        <f>'Cleaned Data'!C184</f>
        <v>9.6310000000000007E-3</v>
      </c>
      <c r="D184" s="3">
        <f>'Cleaned Data'!D184</f>
        <v>2.8000000000000004E-3</v>
      </c>
      <c r="E184" s="1">
        <f t="shared" si="13"/>
        <v>9.6041084962106126E-3</v>
      </c>
      <c r="F184" s="24">
        <f t="shared" si="14"/>
        <v>2.6891503789388052E-5</v>
      </c>
      <c r="G184" s="1" t="str">
        <f t="shared" si="15"/>
        <v>Up to $10</v>
      </c>
      <c r="H184" s="1">
        <f t="shared" si="16"/>
        <v>135</v>
      </c>
      <c r="I184" s="1" t="str">
        <f t="shared" si="17"/>
        <v/>
      </c>
    </row>
    <row r="185" spans="1:9" hidden="1">
      <c r="A185" s="1" t="str">
        <f>'Cleaned Data'!A185</f>
        <v>BizAuto</v>
      </c>
      <c r="B185" s="1" t="str">
        <f>'Cleaned Data'!B185</f>
        <v>BIZA</v>
      </c>
      <c r="C185" s="24">
        <f>'Cleaned Data'!C185</f>
        <v>5.9199999999999997E-4</v>
      </c>
      <c r="D185" s="3">
        <f>'Cleaned Data'!D185</f>
        <v>6.8000000000000005E-3</v>
      </c>
      <c r="E185" s="1">
        <f t="shared" si="13"/>
        <v>5.8800158919348436E-4</v>
      </c>
      <c r="F185" s="24">
        <f t="shared" si="14"/>
        <v>3.9984108065156069E-6</v>
      </c>
      <c r="G185" s="1" t="str">
        <f t="shared" si="15"/>
        <v>Up to $10</v>
      </c>
      <c r="H185" s="1">
        <f t="shared" si="16"/>
        <v>170</v>
      </c>
      <c r="I185" s="1" t="str">
        <f t="shared" si="17"/>
        <v/>
      </c>
    </row>
    <row r="186" spans="1:9" hidden="1">
      <c r="A186" s="1" t="str">
        <f>'Cleaned Data'!A186</f>
        <v>BIGFACTS</v>
      </c>
      <c r="B186" s="1" t="str">
        <f>'Cleaned Data'!B186</f>
        <v>BIGFACTS</v>
      </c>
      <c r="C186" s="24">
        <f>'Cleaned Data'!C186</f>
        <v>3.4099999999999998E-3</v>
      </c>
      <c r="D186" s="3">
        <f>'Cleaned Data'!D186</f>
        <v>3.0999999999999999E-3</v>
      </c>
      <c r="E186" s="1">
        <f t="shared" si="13"/>
        <v>3.3994616688266368E-3</v>
      </c>
      <c r="F186" s="24">
        <f t="shared" si="14"/>
        <v>1.0538331173363079E-5</v>
      </c>
      <c r="G186" s="1" t="str">
        <f t="shared" si="15"/>
        <v>Up to $10</v>
      </c>
      <c r="H186" s="1">
        <f t="shared" si="16"/>
        <v>155</v>
      </c>
      <c r="I186" s="1" t="str">
        <f t="shared" si="17"/>
        <v/>
      </c>
    </row>
    <row r="187" spans="1:9" hidden="1">
      <c r="A187" s="1" t="str">
        <f>'Cleaned Data'!A187</f>
        <v>Didi Bam Bam</v>
      </c>
      <c r="B187" s="1" t="str">
        <f>'Cleaned Data'!B187</f>
        <v>DDBAM</v>
      </c>
      <c r="C187" s="24">
        <f>'Cleaned Data'!C187</f>
        <v>7.5139999999999998E-2</v>
      </c>
      <c r="D187" s="3">
        <f>'Cleaned Data'!D187</f>
        <v>1E-4</v>
      </c>
      <c r="E187" s="1">
        <f t="shared" si="13"/>
        <v>7.5132486751324862E-2</v>
      </c>
      <c r="F187" s="24">
        <f t="shared" si="14"/>
        <v>7.5132486751366967E-6</v>
      </c>
      <c r="G187" s="1" t="str">
        <f t="shared" si="15"/>
        <v>Up to $10</v>
      </c>
      <c r="H187" s="1">
        <f t="shared" si="16"/>
        <v>162</v>
      </c>
      <c r="I187" s="1" t="str">
        <f t="shared" si="17"/>
        <v/>
      </c>
    </row>
    <row r="188" spans="1:9" hidden="1">
      <c r="A188" s="1" t="str">
        <f>'Cleaned Data'!A188</f>
        <v>Rebel Cars</v>
      </c>
      <c r="B188" s="1" t="str">
        <f>'Cleaned Data'!B188</f>
        <v>RC</v>
      </c>
      <c r="C188" s="24">
        <f>'Cleaned Data'!C188</f>
        <v>7.633E-3</v>
      </c>
      <c r="D188" s="3">
        <f>'Cleaned Data'!D188</f>
        <v>1.1000000000000001E-2</v>
      </c>
      <c r="E188" s="1">
        <f t="shared" si="13"/>
        <v>7.5499505440158269E-3</v>
      </c>
      <c r="F188" s="24">
        <f t="shared" si="14"/>
        <v>8.3049455984173133E-5</v>
      </c>
      <c r="G188" s="1" t="str">
        <f t="shared" si="15"/>
        <v>Up to $10</v>
      </c>
      <c r="H188" s="1">
        <f t="shared" si="16"/>
        <v>115</v>
      </c>
      <c r="I188" s="1" t="str">
        <f t="shared" si="17"/>
        <v/>
      </c>
    </row>
    <row r="189" spans="1:9" hidden="1">
      <c r="A189" s="1" t="str">
        <f>'Cleaned Data'!A189</f>
        <v>Vulcan Forged (LAVA)</v>
      </c>
      <c r="B189" s="1" t="str">
        <f>'Cleaned Data'!B189</f>
        <v>LAVA</v>
      </c>
      <c r="C189" s="24">
        <f>'Cleaned Data'!C189</f>
        <v>6.391E-3</v>
      </c>
      <c r="D189" s="3">
        <f>'Cleaned Data'!D189</f>
        <v>0</v>
      </c>
      <c r="E189" s="1">
        <f t="shared" si="13"/>
        <v>6.391E-3</v>
      </c>
      <c r="F189" s="24">
        <f t="shared" si="14"/>
        <v>0</v>
      </c>
      <c r="G189" s="1" t="str">
        <f t="shared" si="15"/>
        <v>Up to $10</v>
      </c>
      <c r="H189" s="1">
        <f t="shared" si="16"/>
        <v>191</v>
      </c>
      <c r="I189" s="1" t="str">
        <f t="shared" si="17"/>
        <v/>
      </c>
    </row>
    <row r="190" spans="1:9" hidden="1">
      <c r="A190" s="1" t="str">
        <f>'Cleaned Data'!A190</f>
        <v>DeHub</v>
      </c>
      <c r="B190" s="1" t="str">
        <f>'Cleaned Data'!B190</f>
        <v>DHB</v>
      </c>
      <c r="C190" s="24">
        <f>'Cleaned Data'!C190</f>
        <v>3.8420000000000001E-4</v>
      </c>
      <c r="D190" s="3">
        <f>'Cleaned Data'!D190</f>
        <v>0</v>
      </c>
      <c r="E190" s="1">
        <f t="shared" si="13"/>
        <v>3.8420000000000001E-4</v>
      </c>
      <c r="F190" s="24">
        <f t="shared" si="14"/>
        <v>0</v>
      </c>
      <c r="G190" s="1" t="str">
        <f t="shared" si="15"/>
        <v>Up to $10</v>
      </c>
      <c r="H190" s="1">
        <f t="shared" si="16"/>
        <v>191</v>
      </c>
      <c r="I190" s="1" t="str">
        <f t="shared" si="17"/>
        <v/>
      </c>
    </row>
    <row r="191" spans="1:9" hidden="1">
      <c r="A191" s="1" t="str">
        <f>'Cleaned Data'!A191</f>
        <v>Mubarakah</v>
      </c>
      <c r="B191" s="1" t="str">
        <f>'Cleaned Data'!B191</f>
        <v>MUBARAKAH</v>
      </c>
      <c r="C191" s="24">
        <f>'Cleaned Data'!C191</f>
        <v>1.565E-3</v>
      </c>
      <c r="D191" s="3">
        <f>'Cleaned Data'!D191</f>
        <v>2E-3</v>
      </c>
      <c r="E191" s="1">
        <f t="shared" si="13"/>
        <v>1.56187624750499E-3</v>
      </c>
      <c r="F191" s="24">
        <f t="shared" si="14"/>
        <v>3.123752495009938E-6</v>
      </c>
      <c r="G191" s="1" t="str">
        <f t="shared" si="15"/>
        <v>Up to $10</v>
      </c>
      <c r="H191" s="1">
        <f t="shared" si="16"/>
        <v>172</v>
      </c>
      <c r="I191" s="1" t="str">
        <f t="shared" si="17"/>
        <v/>
      </c>
    </row>
    <row r="192" spans="1:9" hidden="1">
      <c r="A192" s="1" t="str">
        <f>'Cleaned Data'!A192</f>
        <v>TOWER</v>
      </c>
      <c r="B192" s="1" t="str">
        <f>'Cleaned Data'!B192</f>
        <v>TOWER</v>
      </c>
      <c r="C192" s="24">
        <f>'Cleaned Data'!C192</f>
        <v>4.2460000000000002E-4</v>
      </c>
      <c r="D192" s="3">
        <f>'Cleaned Data'!D192</f>
        <v>1.6000000000000001E-3</v>
      </c>
      <c r="E192" s="1">
        <f t="shared" si="13"/>
        <v>4.2392172523961663E-4</v>
      </c>
      <c r="F192" s="24">
        <f t="shared" si="14"/>
        <v>6.7827476038338644E-7</v>
      </c>
      <c r="G192" s="1" t="str">
        <f t="shared" si="15"/>
        <v>Up to $10</v>
      </c>
      <c r="H192" s="1">
        <f t="shared" si="16"/>
        <v>181</v>
      </c>
      <c r="I192" s="1" t="str">
        <f t="shared" si="17"/>
        <v/>
      </c>
    </row>
    <row r="193" spans="1:9" hidden="1">
      <c r="A193" s="1" t="str">
        <f>'Cleaned Data'!A193</f>
        <v>Octokn</v>
      </c>
      <c r="B193" s="1" t="str">
        <f>'Cleaned Data'!B193</f>
        <v>OTK</v>
      </c>
      <c r="C193" s="24">
        <f>'Cleaned Data'!C193</f>
        <v>4.0850000000000001E-3</v>
      </c>
      <c r="D193" s="3">
        <f>'Cleaned Data'!D193</f>
        <v>2E-3</v>
      </c>
      <c r="E193" s="1">
        <f t="shared" si="13"/>
        <v>4.0768463073852295E-3</v>
      </c>
      <c r="F193" s="24">
        <f t="shared" si="14"/>
        <v>8.153692614770551E-6</v>
      </c>
      <c r="G193" s="1" t="str">
        <f t="shared" si="15"/>
        <v>Up to $10</v>
      </c>
      <c r="H193" s="1">
        <f t="shared" si="16"/>
        <v>160</v>
      </c>
      <c r="I193" s="1" t="str">
        <f t="shared" si="17"/>
        <v/>
      </c>
    </row>
    <row r="194" spans="1:9" hidden="1">
      <c r="A194" s="1" t="str">
        <f>'Cleaned Data'!A194</f>
        <v>StarSlax</v>
      </c>
      <c r="B194" s="1" t="str">
        <f>'Cleaned Data'!B194</f>
        <v>SSLX</v>
      </c>
      <c r="C194" s="24">
        <f>'Cleaned Data'!C194</f>
        <v>4.9459999999999999E-4</v>
      </c>
      <c r="D194" s="3">
        <f>'Cleaned Data'!D194</f>
        <v>4.3E-3</v>
      </c>
      <c r="E194" s="1">
        <f t="shared" si="13"/>
        <v>4.9248232599820774E-4</v>
      </c>
      <c r="F194" s="24">
        <f t="shared" si="14"/>
        <v>2.1176740017922512E-6</v>
      </c>
      <c r="G194" s="1" t="str">
        <f t="shared" si="15"/>
        <v>Up to $10</v>
      </c>
      <c r="H194" s="1">
        <f t="shared" si="16"/>
        <v>177</v>
      </c>
      <c r="I194" s="1" t="str">
        <f t="shared" si="17"/>
        <v/>
      </c>
    </row>
    <row r="195" spans="1:9" hidden="1">
      <c r="A195" s="1" t="str">
        <f>'Cleaned Data'!A195</f>
        <v>Ertha</v>
      </c>
      <c r="B195" s="1" t="str">
        <f>'Cleaned Data'!B195</f>
        <v>ERTHA</v>
      </c>
      <c r="C195" s="24">
        <f>'Cleaned Data'!C195</f>
        <v>6.265E-4</v>
      </c>
      <c r="D195" s="3">
        <f>'Cleaned Data'!D195</f>
        <v>1.9E-3</v>
      </c>
      <c r="E195" s="1">
        <f t="shared" ref="E195:E201" si="18">C195/(1+D195)</f>
        <v>6.2531190737598558E-4</v>
      </c>
      <c r="F195" s="24">
        <f t="shared" ref="F195:F201" si="19">C195-E195</f>
        <v>1.1880926240144182E-6</v>
      </c>
      <c r="G195" s="1" t="str">
        <f t="shared" ref="G195:G201" si="20">IF(C195&lt;=10,"Up to $10","Greater than or equal to $10")</f>
        <v>Up to $10</v>
      </c>
      <c r="H195" s="1">
        <f t="shared" ref="H195:H201" si="21">_xlfn.RANK.EQ(F195,$F$2:$F$201,0)</f>
        <v>180</v>
      </c>
      <c r="I195" s="1" t="str">
        <f t="shared" ref="I195:I201" si="22">IF(H195&lt;=10,"Top 10","")</f>
        <v/>
      </c>
    </row>
    <row r="196" spans="1:9" hidden="1">
      <c r="A196" s="1" t="str">
        <f>'Cleaned Data'!A196</f>
        <v>SafeCoin</v>
      </c>
      <c r="B196" s="1" t="str">
        <f>'Cleaned Data'!B196</f>
        <v>SAFE</v>
      </c>
      <c r="C196" s="24">
        <f>'Cleaned Data'!C196</f>
        <v>4.4560000000000002E-2</v>
      </c>
      <c r="D196" s="3">
        <f>'Cleaned Data'!D196</f>
        <v>1.26E-2</v>
      </c>
      <c r="E196" s="1">
        <f t="shared" si="18"/>
        <v>4.4005530317993292E-2</v>
      </c>
      <c r="F196" s="24">
        <f t="shared" si="19"/>
        <v>5.5446968200670993E-4</v>
      </c>
      <c r="G196" s="1" t="str">
        <f t="shared" si="20"/>
        <v>Up to $10</v>
      </c>
      <c r="H196" s="1">
        <f t="shared" si="21"/>
        <v>67</v>
      </c>
      <c r="I196" s="1" t="str">
        <f t="shared" si="22"/>
        <v/>
      </c>
    </row>
    <row r="197" spans="1:9" hidden="1">
      <c r="A197" s="1" t="str">
        <f>'Cleaned Data'!A197</f>
        <v>Dolos The Bully</v>
      </c>
      <c r="B197" s="1" t="str">
        <f>'Cleaned Data'!B197</f>
        <v>BULLY</v>
      </c>
      <c r="C197" s="24">
        <f>'Cleaned Data'!C197</f>
        <v>1.286E-3</v>
      </c>
      <c r="D197" s="3">
        <f>'Cleaned Data'!D197</f>
        <v>0</v>
      </c>
      <c r="E197" s="1">
        <f t="shared" si="18"/>
        <v>1.286E-3</v>
      </c>
      <c r="F197" s="24">
        <f t="shared" si="19"/>
        <v>0</v>
      </c>
      <c r="G197" s="1" t="str">
        <f t="shared" si="20"/>
        <v>Up to $10</v>
      </c>
      <c r="H197" s="1">
        <f t="shared" si="21"/>
        <v>191</v>
      </c>
      <c r="I197" s="1" t="str">
        <f t="shared" si="22"/>
        <v/>
      </c>
    </row>
    <row r="198" spans="1:9" hidden="1">
      <c r="A198" s="1" t="str">
        <f>'Cleaned Data'!A198</f>
        <v>LanLan Cat</v>
      </c>
      <c r="B198" s="1" t="str">
        <f>'Cleaned Data'!B198</f>
        <v>LANLAN</v>
      </c>
      <c r="C198" s="24">
        <f>'Cleaned Data'!C198</f>
        <v>1.3799999999999999E-4</v>
      </c>
      <c r="D198" s="3">
        <f>'Cleaned Data'!D198</f>
        <v>0.1177</v>
      </c>
      <c r="E198" s="1">
        <f t="shared" si="18"/>
        <v>1.234678357340968E-4</v>
      </c>
      <c r="F198" s="24">
        <f t="shared" si="19"/>
        <v>1.4532164265903196E-5</v>
      </c>
      <c r="G198" s="1" t="str">
        <f t="shared" si="20"/>
        <v>Up to $10</v>
      </c>
      <c r="H198" s="1">
        <f t="shared" si="21"/>
        <v>150</v>
      </c>
      <c r="I198" s="1" t="str">
        <f t="shared" si="22"/>
        <v/>
      </c>
    </row>
    <row r="199" spans="1:9" hidden="1">
      <c r="A199" s="1" t="str">
        <f>'Cleaned Data'!A199</f>
        <v>Torum</v>
      </c>
      <c r="B199" s="1" t="str">
        <f>'Cleaned Data'!B199</f>
        <v>XTM</v>
      </c>
      <c r="C199" s="24">
        <f>'Cleaned Data'!C199</f>
        <v>6.2379999999999996E-3</v>
      </c>
      <c r="D199" s="3">
        <f>'Cleaned Data'!D199</f>
        <v>2.9399999999999999E-2</v>
      </c>
      <c r="E199" s="1">
        <f t="shared" si="18"/>
        <v>6.059840683893529E-3</v>
      </c>
      <c r="F199" s="24">
        <f t="shared" si="19"/>
        <v>1.7815931610647064E-4</v>
      </c>
      <c r="G199" s="1" t="str">
        <f t="shared" si="20"/>
        <v>Up to $10</v>
      </c>
      <c r="H199" s="1">
        <f t="shared" si="21"/>
        <v>94</v>
      </c>
      <c r="I199" s="1" t="str">
        <f t="shared" si="22"/>
        <v/>
      </c>
    </row>
    <row r="200" spans="1:9" hidden="1">
      <c r="A200" s="1" t="str">
        <f>'Cleaned Data'!A200</f>
        <v>SUNCAT</v>
      </c>
      <c r="B200" s="1" t="str">
        <f>'Cleaned Data'!B200</f>
        <v>SUNCAT</v>
      </c>
      <c r="C200" s="24">
        <f>'Cleaned Data'!C200</f>
        <v>1.2199999999999999E-3</v>
      </c>
      <c r="D200" s="3">
        <f>'Cleaned Data'!D200</f>
        <v>7.9000000000000008E-3</v>
      </c>
      <c r="E200" s="1">
        <f t="shared" si="18"/>
        <v>1.2104375434070841E-3</v>
      </c>
      <c r="F200" s="24">
        <f t="shared" si="19"/>
        <v>9.5624565929158887E-6</v>
      </c>
      <c r="G200" s="1" t="str">
        <f t="shared" si="20"/>
        <v>Up to $10</v>
      </c>
      <c r="H200" s="1">
        <f t="shared" si="21"/>
        <v>156</v>
      </c>
      <c r="I200" s="1" t="str">
        <f t="shared" si="22"/>
        <v/>
      </c>
    </row>
    <row r="201" spans="1:9" hidden="1">
      <c r="A201" s="1" t="str">
        <f>'Cleaned Data'!A201</f>
        <v>HOME3</v>
      </c>
      <c r="B201" s="1" t="str">
        <f>'Cleaned Data'!B201</f>
        <v>HTS</v>
      </c>
      <c r="C201" s="24">
        <f>'Cleaned Data'!C201</f>
        <v>1.532E-2</v>
      </c>
      <c r="D201" s="3">
        <f>'Cleaned Data'!D201</f>
        <v>2.06E-2</v>
      </c>
      <c r="E201" s="1">
        <f t="shared" si="18"/>
        <v>1.5010777973740938E-2</v>
      </c>
      <c r="F201" s="24">
        <f t="shared" si="19"/>
        <v>3.0922202625906225E-4</v>
      </c>
      <c r="G201" s="1" t="str">
        <f t="shared" si="20"/>
        <v>Up to $10</v>
      </c>
      <c r="H201" s="1">
        <f t="shared" si="21"/>
        <v>85</v>
      </c>
      <c r="I201" s="1" t="str">
        <f t="shared" si="22"/>
        <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70F6A-B28C-4876-A32F-CD2D49E0FC3F}">
  <sheetPr codeName="Sheet8"/>
  <dimension ref="A1:K11"/>
  <sheetViews>
    <sheetView topLeftCell="C1" zoomScale="88" workbookViewId="0">
      <selection activeCell="J17" sqref="J17"/>
    </sheetView>
  </sheetViews>
  <sheetFormatPr defaultRowHeight="14.5"/>
  <cols>
    <col min="1" max="1" width="13.453125" bestFit="1" customWidth="1"/>
    <col min="2" max="2" width="7.36328125" bestFit="1" customWidth="1"/>
    <col min="3" max="3" width="10.1796875" bestFit="1" customWidth="1"/>
    <col min="4" max="4" width="12.54296875" bestFit="1" customWidth="1"/>
    <col min="5" max="5" width="10.08984375" bestFit="1" customWidth="1"/>
    <col min="6" max="6" width="15.54296875" bestFit="1" customWidth="1"/>
    <col min="7" max="7" width="15.36328125" bestFit="1" customWidth="1"/>
    <col min="8" max="8" width="12.54296875" bestFit="1" customWidth="1"/>
    <col min="9" max="9" width="13.6328125" bestFit="1" customWidth="1"/>
    <col min="10" max="11" width="11.81640625" bestFit="1" customWidth="1"/>
  </cols>
  <sheetData>
    <row r="1" spans="1:11">
      <c r="A1" s="1" t="s">
        <v>0</v>
      </c>
      <c r="B1" s="1" t="s">
        <v>1</v>
      </c>
      <c r="C1" s="1" t="s">
        <v>2</v>
      </c>
      <c r="D1" s="1" t="s">
        <v>3</v>
      </c>
      <c r="E1" s="1" t="s">
        <v>4</v>
      </c>
      <c r="F1" s="1" t="s">
        <v>5</v>
      </c>
      <c r="G1" s="1" t="s">
        <v>6</v>
      </c>
      <c r="H1" s="1" t="s">
        <v>782</v>
      </c>
      <c r="I1" s="1" t="s">
        <v>781</v>
      </c>
      <c r="J1" s="1" t="s">
        <v>783</v>
      </c>
      <c r="K1" s="1" t="s">
        <v>784</v>
      </c>
    </row>
    <row r="2" spans="1:11">
      <c r="A2" s="1" t="s">
        <v>684</v>
      </c>
      <c r="B2" s="1" t="s">
        <v>685</v>
      </c>
      <c r="C2" s="1">
        <v>7.8279999999999999E-3</v>
      </c>
      <c r="D2" s="1">
        <v>18.79</v>
      </c>
      <c r="E2" s="1" t="s">
        <v>686</v>
      </c>
      <c r="F2" s="29">
        <v>106039</v>
      </c>
      <c r="G2" s="1" t="s">
        <v>687</v>
      </c>
      <c r="H2" s="1">
        <v>131.53</v>
      </c>
      <c r="I2" s="1">
        <v>-37.58</v>
      </c>
      <c r="J2" s="39">
        <v>3.3809873450524768E-3</v>
      </c>
      <c r="K2" s="39">
        <v>1.2540852290932389E-2</v>
      </c>
    </row>
    <row r="3" spans="1:11">
      <c r="A3" s="1" t="s">
        <v>733</v>
      </c>
      <c r="B3" s="1" t="s">
        <v>734</v>
      </c>
      <c r="C3" s="1">
        <v>1.3799999999999999E-4</v>
      </c>
      <c r="D3" s="1">
        <v>11.77</v>
      </c>
      <c r="E3" s="1" t="s">
        <v>735</v>
      </c>
      <c r="F3" s="29">
        <v>1609979</v>
      </c>
      <c r="G3" s="1" t="s">
        <v>326</v>
      </c>
      <c r="H3" s="1">
        <v>82.39</v>
      </c>
      <c r="I3" s="1">
        <v>-23.54</v>
      </c>
      <c r="J3" s="39">
        <v>7.5662042875157629E-5</v>
      </c>
      <c r="K3" s="39">
        <v>1.804865289040021E-4</v>
      </c>
    </row>
    <row r="4" spans="1:11">
      <c r="A4" s="1" t="s">
        <v>553</v>
      </c>
      <c r="B4" s="1" t="s">
        <v>554</v>
      </c>
      <c r="C4" s="1">
        <v>5.1470000000000002E-2</v>
      </c>
      <c r="D4" s="1">
        <v>4.6399999999999997</v>
      </c>
      <c r="E4" s="1" t="s">
        <v>555</v>
      </c>
      <c r="F4" s="29">
        <v>168650</v>
      </c>
      <c r="G4" s="1" t="s">
        <v>556</v>
      </c>
      <c r="H4" s="1">
        <v>32.479999999999997</v>
      </c>
      <c r="I4" s="1">
        <v>-9.2799999999999994</v>
      </c>
      <c r="J4" s="39">
        <v>3.885114734299517E-2</v>
      </c>
      <c r="K4" s="39">
        <v>5.6735008818342147E-2</v>
      </c>
    </row>
    <row r="5" spans="1:11">
      <c r="A5" s="1" t="s">
        <v>307</v>
      </c>
      <c r="B5" s="1" t="s">
        <v>308</v>
      </c>
      <c r="C5" s="1">
        <v>8.3759999999999998E-3</v>
      </c>
      <c r="D5" s="1">
        <v>4.2699999999999996</v>
      </c>
      <c r="E5" s="1" t="s">
        <v>309</v>
      </c>
      <c r="F5" s="29">
        <v>40860347</v>
      </c>
      <c r="G5" s="1" t="s">
        <v>310</v>
      </c>
      <c r="H5" s="1">
        <v>29.89</v>
      </c>
      <c r="I5" s="1">
        <v>-8.5399999999999991</v>
      </c>
      <c r="J5" s="39">
        <v>6.4485333743937176E-3</v>
      </c>
      <c r="K5" s="39">
        <v>9.1581019024710251E-3</v>
      </c>
    </row>
    <row r="6" spans="1:11">
      <c r="A6" s="1" t="s">
        <v>327</v>
      </c>
      <c r="B6" s="1" t="s">
        <v>328</v>
      </c>
      <c r="C6" s="1">
        <v>2.0410000000000001E-2</v>
      </c>
      <c r="D6" s="1">
        <v>4.24</v>
      </c>
      <c r="E6" s="1" t="s">
        <v>329</v>
      </c>
      <c r="F6" s="29">
        <v>174082</v>
      </c>
      <c r="G6" s="1" t="s">
        <v>330</v>
      </c>
      <c r="H6" s="1">
        <v>29.68</v>
      </c>
      <c r="I6" s="1">
        <v>-8.48</v>
      </c>
      <c r="J6" s="39">
        <v>1.5738741517581738E-2</v>
      </c>
      <c r="K6" s="39">
        <v>2.230113636363636E-2</v>
      </c>
    </row>
    <row r="7" spans="1:11">
      <c r="A7" s="1" t="s">
        <v>409</v>
      </c>
      <c r="B7" s="1" t="s">
        <v>410</v>
      </c>
      <c r="C7" s="1">
        <v>4.9510000000000005E-4</v>
      </c>
      <c r="D7" s="1">
        <v>4.05</v>
      </c>
      <c r="E7" s="1" t="s">
        <v>407</v>
      </c>
      <c r="F7" s="29">
        <v>4772</v>
      </c>
      <c r="G7" s="1" t="s">
        <v>411</v>
      </c>
      <c r="H7" s="1">
        <v>28.35</v>
      </c>
      <c r="I7" s="1">
        <v>-8.1</v>
      </c>
      <c r="J7" s="39">
        <v>3.8574211141410213E-4</v>
      </c>
      <c r="K7" s="39">
        <v>5.3873775843307943E-4</v>
      </c>
    </row>
    <row r="8" spans="1:11">
      <c r="A8" s="1" t="s">
        <v>187</v>
      </c>
      <c r="B8" s="1" t="s">
        <v>188</v>
      </c>
      <c r="C8" s="1">
        <v>3.2290000000000001E-3</v>
      </c>
      <c r="D8" s="1">
        <v>3.42</v>
      </c>
      <c r="E8" s="1" t="s">
        <v>189</v>
      </c>
      <c r="F8" s="29">
        <v>7399528</v>
      </c>
      <c r="G8" s="1" t="s">
        <v>190</v>
      </c>
      <c r="H8" s="1">
        <v>23.94</v>
      </c>
      <c r="I8" s="1">
        <v>-6.84</v>
      </c>
      <c r="J8" s="39">
        <v>2.60529288365338E-3</v>
      </c>
      <c r="K8" s="39">
        <v>3.466079862601975E-3</v>
      </c>
    </row>
    <row r="9" spans="1:11">
      <c r="A9" s="1" t="s">
        <v>600</v>
      </c>
      <c r="B9" s="1" t="s">
        <v>601</v>
      </c>
      <c r="C9" s="1">
        <v>0.17610000000000001</v>
      </c>
      <c r="D9" s="1">
        <v>3.34</v>
      </c>
      <c r="E9" s="1" t="s">
        <v>588</v>
      </c>
      <c r="F9" s="29">
        <v>1614</v>
      </c>
      <c r="G9" s="1" t="s">
        <v>602</v>
      </c>
      <c r="H9" s="1">
        <v>23.38</v>
      </c>
      <c r="I9" s="1">
        <v>-6.68</v>
      </c>
      <c r="J9" s="39">
        <v>0.14272977792186739</v>
      </c>
      <c r="K9" s="39">
        <v>0.1887055293613373</v>
      </c>
    </row>
    <row r="10" spans="1:11">
      <c r="A10" s="1" t="s">
        <v>72</v>
      </c>
      <c r="B10" s="1" t="s">
        <v>73</v>
      </c>
      <c r="C10" s="1">
        <v>0.46260000000000001</v>
      </c>
      <c r="D10" s="1">
        <v>3.05</v>
      </c>
      <c r="E10" s="1" t="s">
        <v>74</v>
      </c>
      <c r="F10" s="29">
        <v>70946476</v>
      </c>
      <c r="G10" s="1" t="s">
        <v>75</v>
      </c>
      <c r="H10" s="1">
        <v>21.35</v>
      </c>
      <c r="I10" s="1">
        <v>-6.1</v>
      </c>
      <c r="J10" s="39">
        <v>0.38121137206427691</v>
      </c>
      <c r="K10" s="39">
        <v>0.49265175718849841</v>
      </c>
    </row>
    <row r="11" spans="1:11">
      <c r="A11" s="1" t="s">
        <v>116</v>
      </c>
      <c r="B11" s="1" t="s">
        <v>117</v>
      </c>
      <c r="C11" s="1">
        <v>0.49459999999999998</v>
      </c>
      <c r="D11" s="1">
        <v>3.03</v>
      </c>
      <c r="E11" s="1" t="s">
        <v>118</v>
      </c>
      <c r="F11" s="29">
        <v>138536</v>
      </c>
      <c r="G11" s="1" t="s">
        <v>119</v>
      </c>
      <c r="H11" s="1">
        <v>21.21</v>
      </c>
      <c r="I11" s="1">
        <v>-6.06</v>
      </c>
      <c r="J11" s="39">
        <v>0.40805214091246589</v>
      </c>
      <c r="K11" s="39">
        <v>0.52650628060464122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B5E22-94F8-41BE-A42E-74A8CB338EB6}">
  <sheetPr codeName="Sheet9"/>
  <dimension ref="A1:M18"/>
  <sheetViews>
    <sheetView topLeftCell="C1" workbookViewId="0">
      <selection activeCell="M1" sqref="M1"/>
    </sheetView>
  </sheetViews>
  <sheetFormatPr defaultRowHeight="14.5"/>
  <cols>
    <col min="1" max="1" width="10.36328125" bestFit="1" customWidth="1"/>
    <col min="2" max="2" width="12.36328125" bestFit="1" customWidth="1"/>
    <col min="3" max="3" width="6.6328125" bestFit="1" customWidth="1"/>
    <col min="4" max="4" width="10.1796875" bestFit="1" customWidth="1"/>
    <col min="5" max="5" width="18" bestFit="1" customWidth="1"/>
    <col min="6" max="6" width="9.81640625" bestFit="1" customWidth="1"/>
    <col min="9" max="9" width="12.36328125" bestFit="1" customWidth="1"/>
    <col min="10" max="10" width="6.6328125" bestFit="1" customWidth="1"/>
    <col min="12" max="12" width="16.6328125" bestFit="1" customWidth="1"/>
    <col min="13" max="13" width="10.08984375" bestFit="1" customWidth="1"/>
  </cols>
  <sheetData>
    <row r="1" spans="1:13">
      <c r="A1" t="s">
        <v>778</v>
      </c>
      <c r="B1" t="s">
        <v>0</v>
      </c>
      <c r="C1" t="s">
        <v>1</v>
      </c>
      <c r="D1" t="s">
        <v>2</v>
      </c>
      <c r="E1" t="s">
        <v>785</v>
      </c>
      <c r="F1" t="s">
        <v>786</v>
      </c>
      <c r="I1" s="32" t="s">
        <v>0</v>
      </c>
      <c r="J1" s="32" t="s">
        <v>1</v>
      </c>
      <c r="K1" s="32" t="s">
        <v>757</v>
      </c>
      <c r="L1" s="32" t="s">
        <v>794</v>
      </c>
      <c r="M1" s="32" t="s">
        <v>786</v>
      </c>
    </row>
    <row r="2" spans="1:13">
      <c r="A2" t="s">
        <v>787</v>
      </c>
      <c r="B2" t="s">
        <v>499</v>
      </c>
      <c r="C2" t="s">
        <v>500</v>
      </c>
      <c r="D2">
        <v>2.5340000000000001E-2</v>
      </c>
      <c r="E2">
        <v>0</v>
      </c>
      <c r="F2">
        <v>110</v>
      </c>
      <c r="I2" s="20" t="str">
        <f>Task6_Pivot!A4</f>
        <v>Comtech Gold</v>
      </c>
      <c r="J2" s="20" t="str">
        <f>Task6_Pivot!A5</f>
        <v>CGO</v>
      </c>
      <c r="K2" s="20">
        <f>Task6_Pivot!A6</f>
        <v>108.17</v>
      </c>
      <c r="L2" s="20">
        <f>Task6_Pivot!B4</f>
        <v>0.2</v>
      </c>
      <c r="M2" s="20">
        <f>Task6_Pivot!C4</f>
        <v>7</v>
      </c>
    </row>
    <row r="3" spans="1:13">
      <c r="A3" t="s">
        <v>788</v>
      </c>
      <c r="B3" t="s">
        <v>442</v>
      </c>
      <c r="C3" t="s">
        <v>443</v>
      </c>
      <c r="D3">
        <v>0.1065</v>
      </c>
      <c r="E3">
        <v>0</v>
      </c>
      <c r="F3">
        <v>54</v>
      </c>
      <c r="H3" s="33"/>
      <c r="I3" s="33"/>
      <c r="J3" s="33"/>
      <c r="K3" s="33"/>
      <c r="L3" s="33"/>
      <c r="M3" s="33"/>
    </row>
    <row r="4" spans="1:13">
      <c r="A4" t="s">
        <v>789</v>
      </c>
      <c r="B4" t="s">
        <v>108</v>
      </c>
      <c r="C4" t="s">
        <v>109</v>
      </c>
      <c r="D4">
        <v>0.99970000000000003</v>
      </c>
      <c r="E4">
        <v>0</v>
      </c>
      <c r="F4">
        <v>28</v>
      </c>
      <c r="H4" s="33"/>
      <c r="I4" s="33"/>
      <c r="J4" s="33"/>
      <c r="K4" s="33"/>
      <c r="L4" s="33"/>
      <c r="M4" s="33"/>
    </row>
    <row r="5" spans="1:13">
      <c r="A5" t="s">
        <v>790</v>
      </c>
      <c r="B5" t="s">
        <v>235</v>
      </c>
      <c r="C5" t="s">
        <v>236</v>
      </c>
      <c r="D5">
        <v>9.67</v>
      </c>
      <c r="E5">
        <v>0.33333333300000001</v>
      </c>
      <c r="F5">
        <v>1</v>
      </c>
      <c r="H5" s="33"/>
      <c r="I5" s="33"/>
      <c r="J5" s="33"/>
      <c r="K5" s="33"/>
      <c r="L5" s="33"/>
      <c r="M5" s="33"/>
    </row>
    <row r="6" spans="1:13">
      <c r="A6" t="s">
        <v>791</v>
      </c>
      <c r="B6" t="s">
        <v>386</v>
      </c>
      <c r="C6" t="s">
        <v>387</v>
      </c>
      <c r="D6">
        <v>108.17</v>
      </c>
      <c r="E6">
        <v>0.2</v>
      </c>
      <c r="F6">
        <v>7</v>
      </c>
      <c r="I6" s="33"/>
      <c r="J6" s="33"/>
      <c r="K6" s="33"/>
      <c r="L6" s="33"/>
      <c r="M6" s="33"/>
    </row>
    <row r="18" spans="9:9">
      <c r="I18"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F9194-A486-4C79-877D-062BAE4A5148}">
  <sheetPr codeName="Sheet10"/>
  <dimension ref="A1:C7"/>
  <sheetViews>
    <sheetView workbookViewId="0">
      <selection activeCell="C4" sqref="C4"/>
    </sheetView>
  </sheetViews>
  <sheetFormatPr defaultRowHeight="14.5"/>
  <cols>
    <col min="1" max="1" width="14.453125" bestFit="1" customWidth="1"/>
    <col min="2" max="2" width="24.6328125" bestFit="1" customWidth="1"/>
    <col min="3" max="3" width="16.36328125" bestFit="1" customWidth="1"/>
  </cols>
  <sheetData>
    <row r="1" spans="1:3">
      <c r="A1" s="26" t="s">
        <v>778</v>
      </c>
      <c r="B1" s="1" t="s">
        <v>791</v>
      </c>
    </row>
    <row r="3" spans="1:3">
      <c r="A3" s="26" t="s">
        <v>769</v>
      </c>
      <c r="B3" s="1" t="s">
        <v>793</v>
      </c>
      <c r="C3" s="1" t="s">
        <v>792</v>
      </c>
    </row>
    <row r="4" spans="1:3">
      <c r="A4" s="27" t="s">
        <v>386</v>
      </c>
      <c r="B4" s="25">
        <v>0.2</v>
      </c>
      <c r="C4" s="25">
        <v>7</v>
      </c>
    </row>
    <row r="5" spans="1:3">
      <c r="A5" s="30" t="s">
        <v>387</v>
      </c>
      <c r="B5" s="25">
        <v>0.2</v>
      </c>
      <c r="C5" s="25">
        <v>7</v>
      </c>
    </row>
    <row r="6" spans="1:3">
      <c r="A6" s="31">
        <v>108.17</v>
      </c>
      <c r="B6" s="25">
        <v>0.2</v>
      </c>
      <c r="C6" s="25">
        <v>7</v>
      </c>
    </row>
    <row r="7" spans="1:3">
      <c r="A7" s="27" t="s">
        <v>770</v>
      </c>
      <c r="B7" s="25">
        <v>0.2</v>
      </c>
      <c r="C7" s="25">
        <v>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47B96-4843-4AF7-9A60-F4D0E85456F0}">
  <sheetPr codeName="Sheet11"/>
  <dimension ref="A1:O44"/>
  <sheetViews>
    <sheetView showGridLines="0" tabSelected="1" topLeftCell="A13" zoomScale="75" zoomScaleNormal="40" workbookViewId="0">
      <selection activeCell="L47" sqref="L47"/>
    </sheetView>
  </sheetViews>
  <sheetFormatPr defaultRowHeight="14.5"/>
  <sheetData>
    <row r="1" spans="1:15" ht="14.5" customHeight="1">
      <c r="A1" s="43" t="s">
        <v>795</v>
      </c>
      <c r="B1" s="44"/>
      <c r="C1" s="44"/>
      <c r="D1" s="44"/>
      <c r="E1" s="44"/>
      <c r="F1" s="44"/>
      <c r="G1" s="44"/>
      <c r="H1" s="44"/>
      <c r="I1" s="44"/>
      <c r="J1" s="44"/>
      <c r="K1" s="44"/>
      <c r="L1" s="44"/>
      <c r="M1" s="44"/>
      <c r="N1" s="44"/>
      <c r="O1" s="45"/>
    </row>
    <row r="2" spans="1:15" ht="15" thickBot="1">
      <c r="A2" s="46"/>
      <c r="B2" s="47"/>
      <c r="C2" s="47"/>
      <c r="D2" s="47"/>
      <c r="E2" s="47"/>
      <c r="F2" s="47"/>
      <c r="G2" s="47"/>
      <c r="H2" s="47"/>
      <c r="I2" s="47"/>
      <c r="J2" s="47"/>
      <c r="K2" s="47"/>
      <c r="L2" s="47"/>
      <c r="M2" s="47"/>
      <c r="N2" s="47"/>
      <c r="O2" s="48"/>
    </row>
    <row r="3" spans="1:15" ht="15" thickBot="1">
      <c r="A3" s="49" t="s">
        <v>796</v>
      </c>
      <c r="B3" s="50"/>
      <c r="C3" s="50"/>
      <c r="D3" s="50"/>
      <c r="E3" s="50"/>
      <c r="F3" s="50"/>
      <c r="G3" s="50"/>
      <c r="H3" s="50"/>
      <c r="I3" s="50"/>
      <c r="J3" s="50"/>
      <c r="K3" s="50"/>
      <c r="L3" s="50"/>
      <c r="M3" s="50"/>
      <c r="N3" s="50"/>
      <c r="O3" s="51"/>
    </row>
    <row r="4" spans="1:15" ht="14.5" customHeight="1">
      <c r="A4" s="52" t="s">
        <v>786</v>
      </c>
      <c r="B4" s="53"/>
      <c r="C4" s="54"/>
      <c r="D4" s="52" t="s">
        <v>797</v>
      </c>
      <c r="E4" s="53"/>
      <c r="F4" s="54"/>
      <c r="G4" s="52" t="s">
        <v>798</v>
      </c>
      <c r="H4" s="53"/>
      <c r="I4" s="54"/>
      <c r="J4" s="52" t="s">
        <v>799</v>
      </c>
      <c r="K4" s="53"/>
      <c r="L4" s="54"/>
      <c r="M4" s="58" t="s">
        <v>794</v>
      </c>
      <c r="N4" s="59"/>
      <c r="O4" s="60"/>
    </row>
    <row r="5" spans="1:15" ht="15" customHeight="1" thickBot="1">
      <c r="A5" s="55"/>
      <c r="B5" s="56"/>
      <c r="C5" s="57"/>
      <c r="D5" s="55"/>
      <c r="E5" s="56"/>
      <c r="F5" s="57"/>
      <c r="G5" s="55"/>
      <c r="H5" s="56"/>
      <c r="I5" s="57"/>
      <c r="J5" s="55"/>
      <c r="K5" s="56"/>
      <c r="L5" s="57"/>
      <c r="M5" s="61"/>
      <c r="N5" s="62"/>
      <c r="O5" s="63"/>
    </row>
    <row r="6" spans="1:15" ht="14.5" customHeight="1">
      <c r="A6" s="64">
        <f>'KPIs '!N2</f>
        <v>200</v>
      </c>
      <c r="B6" s="65"/>
      <c r="C6" s="66"/>
      <c r="D6" s="64" t="str">
        <f>'KPIs '!O2</f>
        <v>Ctrl Wallet</v>
      </c>
      <c r="E6" s="65"/>
      <c r="F6" s="66"/>
      <c r="G6" s="64">
        <f>'KPIs '!P2</f>
        <v>104058.04</v>
      </c>
      <c r="H6" s="65"/>
      <c r="I6" s="66"/>
      <c r="J6" s="70">
        <f>'KPIs '!Q2</f>
        <v>60772601456</v>
      </c>
      <c r="K6" s="71"/>
      <c r="L6" s="72"/>
      <c r="M6" s="76">
        <f>'KPIs '!R2</f>
        <v>12.12</v>
      </c>
      <c r="N6" s="101"/>
      <c r="O6" s="102"/>
    </row>
    <row r="7" spans="1:15" ht="15" customHeight="1" thickBot="1">
      <c r="A7" s="67"/>
      <c r="B7" s="68"/>
      <c r="C7" s="69"/>
      <c r="D7" s="67"/>
      <c r="E7" s="68"/>
      <c r="F7" s="69"/>
      <c r="G7" s="67"/>
      <c r="H7" s="68"/>
      <c r="I7" s="69"/>
      <c r="J7" s="73"/>
      <c r="K7" s="74"/>
      <c r="L7" s="75"/>
      <c r="M7" s="103"/>
      <c r="N7" s="104"/>
      <c r="O7" s="105"/>
    </row>
    <row r="8" spans="1:15" ht="14.5" customHeight="1">
      <c r="A8" s="77"/>
      <c r="B8" s="78"/>
      <c r="C8" s="79"/>
      <c r="D8" s="40"/>
      <c r="E8" s="40"/>
      <c r="F8" s="40"/>
      <c r="G8" s="40"/>
      <c r="H8" s="40"/>
      <c r="I8" s="40"/>
      <c r="J8" s="40"/>
      <c r="K8" s="40"/>
      <c r="L8" s="40"/>
      <c r="M8" s="40"/>
      <c r="N8" s="40"/>
      <c r="O8" s="41"/>
    </row>
    <row r="9" spans="1:15" ht="14.5" customHeight="1">
      <c r="A9" s="80"/>
      <c r="B9" s="81"/>
      <c r="C9" s="82"/>
      <c r="D9" s="87" t="s">
        <v>801</v>
      </c>
      <c r="E9" s="86"/>
      <c r="F9" s="86"/>
      <c r="G9" s="86"/>
      <c r="H9" s="86"/>
      <c r="I9" s="86"/>
      <c r="J9" s="86"/>
      <c r="K9" s="86"/>
      <c r="L9" s="86"/>
      <c r="M9" s="86"/>
      <c r="N9" s="86"/>
      <c r="O9" s="100"/>
    </row>
    <row r="10" spans="1:15" ht="14.5" customHeight="1">
      <c r="A10" s="80"/>
      <c r="B10" s="81"/>
      <c r="C10" s="82"/>
      <c r="D10" s="87"/>
      <c r="E10" s="86"/>
      <c r="F10" s="86"/>
      <c r="G10" s="86"/>
      <c r="H10" s="86"/>
      <c r="I10" s="86"/>
      <c r="J10" s="86"/>
      <c r="K10" s="86"/>
      <c r="L10" s="86"/>
      <c r="M10" s="86"/>
      <c r="N10" s="86"/>
      <c r="O10" s="100"/>
    </row>
    <row r="11" spans="1:15" ht="14.5" customHeight="1">
      <c r="A11" s="80"/>
      <c r="B11" s="81"/>
      <c r="C11" s="82"/>
      <c r="D11" s="87"/>
      <c r="E11" s="86"/>
      <c r="F11" s="86"/>
      <c r="G11" s="86"/>
      <c r="H11" s="86"/>
      <c r="I11" s="86"/>
      <c r="J11" s="86"/>
      <c r="K11" s="86"/>
      <c r="L11" s="86"/>
      <c r="M11" s="86"/>
      <c r="N11" s="86"/>
      <c r="O11" s="100"/>
    </row>
    <row r="12" spans="1:15" ht="14.5" customHeight="1">
      <c r="A12" s="80"/>
      <c r="B12" s="81"/>
      <c r="C12" s="82"/>
      <c r="D12" s="40"/>
      <c r="E12" s="40"/>
      <c r="F12" s="40"/>
      <c r="G12" s="40"/>
      <c r="H12" s="40"/>
      <c r="I12" s="40"/>
      <c r="J12" s="40"/>
      <c r="K12" s="40"/>
      <c r="L12" s="40"/>
      <c r="M12" s="40"/>
      <c r="N12" s="40"/>
      <c r="O12" s="41"/>
    </row>
    <row r="13" spans="1:15" ht="14.5" customHeight="1">
      <c r="A13" s="80"/>
      <c r="B13" s="81"/>
      <c r="C13" s="82"/>
      <c r="D13" s="87" t="s">
        <v>802</v>
      </c>
      <c r="E13" s="86"/>
      <c r="F13" s="86"/>
      <c r="G13" s="86"/>
      <c r="H13" s="86"/>
      <c r="I13" s="86"/>
      <c r="J13" s="86"/>
      <c r="K13" s="86"/>
      <c r="L13" s="86"/>
      <c r="M13" s="86"/>
      <c r="N13" s="86"/>
      <c r="O13" s="100"/>
    </row>
    <row r="14" spans="1:15" ht="14.5" customHeight="1">
      <c r="A14" s="80"/>
      <c r="B14" s="81"/>
      <c r="C14" s="82"/>
      <c r="D14" s="87"/>
      <c r="E14" s="86"/>
      <c r="F14" s="86"/>
      <c r="G14" s="86"/>
      <c r="H14" s="86"/>
      <c r="I14" s="86"/>
      <c r="J14" s="86"/>
      <c r="K14" s="86"/>
      <c r="L14" s="86"/>
      <c r="M14" s="86"/>
      <c r="N14" s="86"/>
      <c r="O14" s="100"/>
    </row>
    <row r="15" spans="1:15" ht="14.5" customHeight="1">
      <c r="A15" s="80"/>
      <c r="B15" s="81"/>
      <c r="C15" s="82"/>
      <c r="D15" s="87"/>
      <c r="E15" s="86"/>
      <c r="F15" s="86"/>
      <c r="G15" s="86"/>
      <c r="H15" s="86"/>
      <c r="I15" s="86"/>
      <c r="J15" s="86"/>
      <c r="K15" s="86"/>
      <c r="L15" s="86"/>
      <c r="M15" s="86"/>
      <c r="N15" s="86"/>
      <c r="O15" s="100"/>
    </row>
    <row r="16" spans="1:15" ht="14.5" customHeight="1">
      <c r="A16" s="80"/>
      <c r="B16" s="81"/>
      <c r="C16" s="82"/>
      <c r="D16" s="87"/>
      <c r="E16" s="86"/>
      <c r="F16" s="86"/>
      <c r="G16" s="86"/>
      <c r="H16" s="86"/>
      <c r="I16" s="86"/>
      <c r="J16" s="86"/>
      <c r="K16" s="86"/>
      <c r="L16" s="86"/>
      <c r="M16" s="86"/>
      <c r="N16" s="86"/>
      <c r="O16" s="100"/>
    </row>
    <row r="17" spans="1:15" ht="14.5" customHeight="1">
      <c r="A17" s="80"/>
      <c r="B17" s="81"/>
      <c r="C17" s="82"/>
      <c r="D17" s="40"/>
      <c r="E17" s="40"/>
      <c r="F17" s="40"/>
      <c r="G17" s="40"/>
      <c r="H17" s="40"/>
      <c r="I17" s="40"/>
      <c r="J17" s="40"/>
      <c r="K17" s="40"/>
      <c r="L17" s="40"/>
      <c r="M17" s="40"/>
      <c r="N17" s="40"/>
      <c r="O17" s="41"/>
    </row>
    <row r="18" spans="1:15">
      <c r="A18" s="80"/>
      <c r="B18" s="81"/>
      <c r="C18" s="82"/>
      <c r="D18" s="40"/>
      <c r="E18" s="40"/>
      <c r="F18" s="40"/>
      <c r="G18" s="40"/>
      <c r="H18" s="40"/>
      <c r="I18" s="40"/>
      <c r="J18" s="40"/>
      <c r="K18" s="40"/>
      <c r="L18" s="40"/>
      <c r="M18" s="40"/>
      <c r="N18" s="40"/>
      <c r="O18" s="41"/>
    </row>
    <row r="19" spans="1:15">
      <c r="A19" s="80"/>
      <c r="B19" s="81"/>
      <c r="C19" s="82"/>
      <c r="D19" s="40"/>
      <c r="E19" s="40"/>
      <c r="F19" s="40"/>
      <c r="G19" s="40"/>
      <c r="H19" s="40"/>
      <c r="I19" s="40"/>
      <c r="J19" s="40"/>
      <c r="K19" s="40"/>
      <c r="L19" s="40"/>
      <c r="M19" s="40"/>
      <c r="N19" s="40"/>
      <c r="O19" s="41"/>
    </row>
    <row r="20" spans="1:15">
      <c r="A20" s="80"/>
      <c r="B20" s="81"/>
      <c r="C20" s="82"/>
      <c r="D20" s="40"/>
      <c r="E20" s="40"/>
      <c r="F20" s="40"/>
      <c r="G20" s="40"/>
      <c r="H20" s="40"/>
      <c r="I20" s="40"/>
      <c r="J20" s="40"/>
      <c r="K20" s="40"/>
      <c r="L20" s="40"/>
      <c r="M20" s="40"/>
      <c r="N20" s="40"/>
      <c r="O20" s="41"/>
    </row>
    <row r="21" spans="1:15">
      <c r="A21" s="80"/>
      <c r="B21" s="81"/>
      <c r="C21" s="82"/>
      <c r="D21" s="40"/>
      <c r="E21" s="40"/>
      <c r="F21" s="40"/>
      <c r="G21" s="40"/>
      <c r="H21" s="40"/>
      <c r="I21" s="40"/>
      <c r="J21" s="40"/>
      <c r="K21" s="40"/>
      <c r="L21" s="40"/>
      <c r="M21" s="40"/>
      <c r="N21" s="40"/>
      <c r="O21" s="41"/>
    </row>
    <row r="22" spans="1:15">
      <c r="A22" s="80"/>
      <c r="B22" s="81"/>
      <c r="C22" s="82"/>
      <c r="D22" s="40"/>
      <c r="E22" s="40"/>
      <c r="F22" s="40"/>
      <c r="G22" s="40"/>
      <c r="H22" s="40"/>
      <c r="I22" s="40"/>
      <c r="J22" s="40"/>
      <c r="K22" s="40"/>
      <c r="L22" s="40"/>
      <c r="M22" s="40"/>
      <c r="N22" s="40"/>
      <c r="O22" s="41"/>
    </row>
    <row r="23" spans="1:15">
      <c r="A23" s="80"/>
      <c r="B23" s="81"/>
      <c r="C23" s="82"/>
      <c r="D23" s="40"/>
      <c r="E23" s="40"/>
      <c r="F23" s="40"/>
      <c r="G23" s="40"/>
      <c r="H23" s="40"/>
      <c r="I23" s="40"/>
      <c r="J23" s="40"/>
      <c r="K23" s="40"/>
      <c r="L23" s="40"/>
      <c r="M23" s="40"/>
      <c r="N23" s="40"/>
      <c r="O23" s="41"/>
    </row>
    <row r="24" spans="1:15">
      <c r="A24" s="80"/>
      <c r="B24" s="81"/>
      <c r="C24" s="82"/>
      <c r="D24" s="40"/>
      <c r="E24" s="40"/>
      <c r="F24" s="40"/>
      <c r="G24" s="40"/>
      <c r="H24" s="40"/>
      <c r="I24" s="40"/>
      <c r="J24" s="40"/>
      <c r="K24" s="40"/>
      <c r="L24" s="40"/>
      <c r="M24" s="40"/>
      <c r="N24" s="40"/>
      <c r="O24" s="41"/>
    </row>
    <row r="25" spans="1:15">
      <c r="A25" s="80"/>
      <c r="B25" s="81"/>
      <c r="C25" s="82"/>
      <c r="D25" s="40"/>
      <c r="E25" s="40"/>
      <c r="F25" s="40"/>
      <c r="G25" s="40"/>
      <c r="H25" s="40"/>
      <c r="I25" s="40"/>
      <c r="J25" s="40"/>
      <c r="K25" s="40"/>
      <c r="L25" s="40"/>
      <c r="M25" s="40"/>
      <c r="N25" s="40"/>
      <c r="O25" s="41"/>
    </row>
    <row r="26" spans="1:15">
      <c r="A26" s="80"/>
      <c r="B26" s="81"/>
      <c r="C26" s="82"/>
      <c r="D26" s="40"/>
      <c r="E26" s="40"/>
      <c r="F26" s="40"/>
      <c r="G26" s="40"/>
      <c r="H26" s="40"/>
      <c r="I26" s="40"/>
      <c r="J26" s="40"/>
      <c r="K26" s="40"/>
      <c r="L26" s="40"/>
      <c r="M26" s="40"/>
      <c r="N26" s="40"/>
      <c r="O26" s="41"/>
    </row>
    <row r="27" spans="1:15">
      <c r="A27" s="80"/>
      <c r="B27" s="81"/>
      <c r="C27" s="82"/>
      <c r="D27" s="40"/>
      <c r="E27" s="40"/>
      <c r="F27" s="40"/>
      <c r="G27" s="40"/>
      <c r="H27" s="40"/>
      <c r="I27" s="40"/>
      <c r="J27" s="40"/>
      <c r="K27" s="40"/>
      <c r="L27" s="40"/>
      <c r="M27" s="40"/>
      <c r="N27" s="40"/>
      <c r="O27" s="41"/>
    </row>
    <row r="28" spans="1:15">
      <c r="A28" s="80"/>
      <c r="B28" s="81"/>
      <c r="C28" s="82"/>
      <c r="D28" s="40"/>
      <c r="E28" s="40"/>
      <c r="F28" s="40"/>
      <c r="G28" s="40"/>
      <c r="H28" s="40"/>
      <c r="I28" s="40"/>
      <c r="J28" s="40"/>
      <c r="K28" s="40"/>
      <c r="L28" s="40"/>
      <c r="M28" s="40"/>
      <c r="N28" s="40"/>
      <c r="O28" s="41"/>
    </row>
    <row r="29" spans="1:15">
      <c r="A29" s="80"/>
      <c r="B29" s="81"/>
      <c r="C29" s="82"/>
      <c r="D29" s="40"/>
      <c r="E29" s="40"/>
      <c r="F29" s="40"/>
      <c r="G29" s="40"/>
      <c r="H29" s="40"/>
      <c r="I29" s="40"/>
      <c r="J29" s="40"/>
      <c r="K29" s="40"/>
      <c r="L29" s="40"/>
      <c r="M29" s="40"/>
      <c r="N29" s="40"/>
      <c r="O29" s="41"/>
    </row>
    <row r="30" spans="1:15">
      <c r="A30" s="80"/>
      <c r="B30" s="81"/>
      <c r="C30" s="82"/>
      <c r="D30" s="40"/>
      <c r="E30" s="40"/>
      <c r="F30" s="40"/>
      <c r="G30" s="40"/>
      <c r="H30" s="40"/>
      <c r="I30" s="40"/>
      <c r="J30" s="40"/>
      <c r="K30" s="40"/>
      <c r="L30" s="40"/>
      <c r="M30" s="40"/>
      <c r="N30" s="40"/>
      <c r="O30" s="41"/>
    </row>
    <row r="31" spans="1:15">
      <c r="A31" s="80"/>
      <c r="B31" s="81"/>
      <c r="C31" s="82"/>
      <c r="D31" s="40"/>
      <c r="E31" s="40"/>
      <c r="F31" s="40"/>
      <c r="G31" s="40"/>
      <c r="H31" s="40"/>
      <c r="I31" s="40"/>
      <c r="J31" s="40"/>
      <c r="K31" s="40"/>
      <c r="L31" s="40"/>
      <c r="M31" s="40"/>
      <c r="N31" s="40"/>
      <c r="O31" s="41"/>
    </row>
    <row r="32" spans="1:15">
      <c r="A32" s="80"/>
      <c r="B32" s="81"/>
      <c r="C32" s="82"/>
      <c r="D32" s="40"/>
      <c r="E32" s="40"/>
      <c r="F32" s="40"/>
      <c r="G32" s="40"/>
      <c r="H32" s="40"/>
      <c r="I32" s="40"/>
      <c r="J32" s="40"/>
      <c r="K32" s="40"/>
      <c r="L32" s="40"/>
      <c r="M32" s="40"/>
      <c r="N32" s="40"/>
      <c r="O32" s="41"/>
    </row>
    <row r="33" spans="1:15">
      <c r="A33" s="80"/>
      <c r="B33" s="81"/>
      <c r="C33" s="82"/>
      <c r="D33" s="40"/>
      <c r="E33" s="40"/>
      <c r="F33" s="40"/>
      <c r="G33" s="40"/>
      <c r="H33" s="40"/>
      <c r="I33" s="40"/>
      <c r="J33" s="40"/>
      <c r="K33" s="40"/>
      <c r="L33" s="40"/>
      <c r="M33" s="40"/>
      <c r="N33" s="40"/>
      <c r="O33" s="41"/>
    </row>
    <row r="34" spans="1:15">
      <c r="A34" s="80"/>
      <c r="B34" s="81"/>
      <c r="C34" s="82"/>
      <c r="D34" s="40"/>
      <c r="E34" s="40"/>
      <c r="F34" s="40"/>
      <c r="G34" s="40"/>
      <c r="H34" s="40"/>
      <c r="I34" s="40"/>
      <c r="J34" s="40"/>
      <c r="K34" s="40"/>
      <c r="L34" s="40"/>
      <c r="M34" s="40"/>
      <c r="N34" s="40"/>
      <c r="O34" s="41"/>
    </row>
    <row r="35" spans="1:15">
      <c r="A35" s="80"/>
      <c r="B35" s="81"/>
      <c r="C35" s="82"/>
      <c r="D35" s="40"/>
      <c r="E35" s="40"/>
      <c r="F35" s="40"/>
      <c r="G35" s="40"/>
      <c r="H35" s="40"/>
      <c r="I35" s="40"/>
      <c r="J35" s="40"/>
      <c r="K35" s="40"/>
      <c r="L35" s="40"/>
      <c r="M35" s="40"/>
      <c r="N35" s="40"/>
      <c r="O35" s="41"/>
    </row>
    <row r="36" spans="1:15">
      <c r="A36" s="80"/>
      <c r="B36" s="81"/>
      <c r="C36" s="82"/>
      <c r="D36" s="40"/>
      <c r="E36" s="40"/>
      <c r="F36" s="40"/>
      <c r="G36" s="40"/>
      <c r="H36" s="40"/>
      <c r="I36" s="40"/>
      <c r="J36" s="40"/>
      <c r="K36" s="40"/>
      <c r="L36" s="40"/>
      <c r="M36" s="40"/>
      <c r="N36" s="40"/>
      <c r="O36" s="41"/>
    </row>
    <row r="37" spans="1:15">
      <c r="A37" s="80"/>
      <c r="B37" s="81"/>
      <c r="C37" s="82"/>
      <c r="D37" s="40"/>
      <c r="E37" s="40"/>
      <c r="F37" s="40"/>
      <c r="G37" s="40"/>
      <c r="H37" s="40"/>
      <c r="I37" s="40"/>
      <c r="J37" s="40"/>
      <c r="K37" s="40"/>
      <c r="L37" s="40"/>
      <c r="M37" s="40"/>
      <c r="N37" s="40"/>
      <c r="O37" s="41"/>
    </row>
    <row r="38" spans="1:15">
      <c r="A38" s="80"/>
      <c r="B38" s="81"/>
      <c r="C38" s="82"/>
      <c r="D38" s="40"/>
      <c r="E38" s="40"/>
      <c r="F38" s="40"/>
      <c r="G38" s="40"/>
      <c r="H38" s="40"/>
      <c r="I38" s="40"/>
      <c r="J38" s="40"/>
      <c r="K38" s="40"/>
      <c r="L38" s="40"/>
      <c r="M38" s="40"/>
      <c r="N38" s="40"/>
      <c r="O38" s="41"/>
    </row>
    <row r="39" spans="1:15">
      <c r="A39" s="80"/>
      <c r="B39" s="81"/>
      <c r="C39" s="82"/>
      <c r="D39" s="40"/>
      <c r="E39" s="40"/>
      <c r="F39" s="40"/>
      <c r="G39" s="40"/>
      <c r="H39" s="40"/>
      <c r="I39" s="40"/>
      <c r="J39" s="40"/>
      <c r="K39" s="40"/>
      <c r="L39" s="40"/>
      <c r="M39" s="40"/>
      <c r="N39" s="40"/>
      <c r="O39" s="41"/>
    </row>
    <row r="40" spans="1:15" ht="15" thickBot="1">
      <c r="A40" s="83"/>
      <c r="B40" s="84"/>
      <c r="C40" s="85"/>
      <c r="D40" s="40"/>
      <c r="E40" s="40"/>
      <c r="F40" s="40"/>
      <c r="G40" s="40"/>
      <c r="H40" s="40"/>
      <c r="I40" s="40"/>
      <c r="J40" s="40"/>
      <c r="K40" s="40"/>
      <c r="L40" s="40"/>
      <c r="M40" s="40"/>
      <c r="N40" s="40"/>
      <c r="O40" s="41"/>
    </row>
    <row r="41" spans="1:15" ht="14.5" customHeight="1">
      <c r="A41" s="88" t="s">
        <v>803</v>
      </c>
      <c r="B41" s="89"/>
      <c r="C41" s="90"/>
      <c r="D41" s="58" t="s">
        <v>0</v>
      </c>
      <c r="E41" s="97"/>
      <c r="F41" s="58" t="s">
        <v>1</v>
      </c>
      <c r="G41" s="97"/>
      <c r="H41" s="58" t="s">
        <v>757</v>
      </c>
      <c r="I41" s="97"/>
      <c r="J41" s="58" t="s">
        <v>794</v>
      </c>
      <c r="K41" s="59"/>
      <c r="L41" s="60"/>
      <c r="M41" s="58" t="s">
        <v>786</v>
      </c>
      <c r="N41" s="60"/>
      <c r="O41" s="41"/>
    </row>
    <row r="42" spans="1:15" ht="15" thickBot="1">
      <c r="A42" s="91"/>
      <c r="B42" s="92"/>
      <c r="C42" s="93"/>
      <c r="D42" s="98"/>
      <c r="E42" s="99"/>
      <c r="F42" s="98"/>
      <c r="G42" s="99"/>
      <c r="H42" s="98"/>
      <c r="I42" s="99"/>
      <c r="J42" s="61"/>
      <c r="K42" s="62"/>
      <c r="L42" s="63"/>
      <c r="M42" s="61"/>
      <c r="N42" s="63"/>
      <c r="O42" s="41"/>
    </row>
    <row r="43" spans="1:15">
      <c r="A43" s="91"/>
      <c r="B43" s="92"/>
      <c r="C43" s="93"/>
      <c r="D43" s="106" t="str">
        <f>'Task 6'!I2</f>
        <v>Comtech Gold</v>
      </c>
      <c r="E43" s="107"/>
      <c r="F43" s="106" t="str">
        <f>'Task 6'!J2</f>
        <v>CGO</v>
      </c>
      <c r="G43" s="107"/>
      <c r="H43" s="106">
        <f>'Task 6'!K2</f>
        <v>108.17</v>
      </c>
      <c r="I43" s="107"/>
      <c r="J43" s="106">
        <f>'Task 6'!L2</f>
        <v>0.2</v>
      </c>
      <c r="K43" s="110"/>
      <c r="L43" s="107"/>
      <c r="M43" s="106">
        <f>'Task 6'!M2</f>
        <v>7</v>
      </c>
      <c r="N43" s="107"/>
      <c r="O43" s="41"/>
    </row>
    <row r="44" spans="1:15" ht="15" thickBot="1">
      <c r="A44" s="94"/>
      <c r="B44" s="95"/>
      <c r="C44" s="96"/>
      <c r="D44" s="108"/>
      <c r="E44" s="109"/>
      <c r="F44" s="108"/>
      <c r="G44" s="109"/>
      <c r="H44" s="108"/>
      <c r="I44" s="109"/>
      <c r="J44" s="108"/>
      <c r="K44" s="111"/>
      <c r="L44" s="109"/>
      <c r="M44" s="108"/>
      <c r="N44" s="109"/>
      <c r="O44" s="42"/>
    </row>
  </sheetData>
  <mergeCells count="26">
    <mergeCell ref="D43:E44"/>
    <mergeCell ref="F43:G44"/>
    <mergeCell ref="H43:I44"/>
    <mergeCell ref="J41:L42"/>
    <mergeCell ref="J43:L44"/>
    <mergeCell ref="M41:N42"/>
    <mergeCell ref="M43:N44"/>
    <mergeCell ref="A8:C40"/>
    <mergeCell ref="A41:C44"/>
    <mergeCell ref="D41:E42"/>
    <mergeCell ref="F41:G42"/>
    <mergeCell ref="H41:I42"/>
    <mergeCell ref="D9:O11"/>
    <mergeCell ref="D13:O16"/>
    <mergeCell ref="A6:C7"/>
    <mergeCell ref="D6:F7"/>
    <mergeCell ref="G6:I7"/>
    <mergeCell ref="J6:L7"/>
    <mergeCell ref="M6:O7"/>
    <mergeCell ref="A1:O2"/>
    <mergeCell ref="A3:O3"/>
    <mergeCell ref="A4:C5"/>
    <mergeCell ref="D4:F5"/>
    <mergeCell ref="G4:I5"/>
    <mergeCell ref="J4:L5"/>
    <mergeCell ref="M4:O5"/>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Raw Data</vt:lpstr>
      <vt:lpstr>KPIs </vt:lpstr>
      <vt:lpstr>Cleaned Data</vt:lpstr>
      <vt:lpstr>Coin Comparison</vt:lpstr>
      <vt:lpstr>Liquidity Analysis</vt:lpstr>
      <vt:lpstr>PivotTable</vt:lpstr>
      <vt:lpstr>Task 4</vt:lpstr>
      <vt:lpstr>Task 5</vt:lpstr>
      <vt:lpstr>Task 6</vt:lpstr>
      <vt:lpstr>Task6_Pivot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rishu singh</dc:creator>
  <cp:lastModifiedBy>rishu singh</cp:lastModifiedBy>
  <dcterms:created xsi:type="dcterms:W3CDTF">2026-08-19T06:40:11Z</dcterms:created>
  <dcterms:modified xsi:type="dcterms:W3CDTF">2026-08-21T07:57:16Z</dcterms:modified>
</cp:coreProperties>
</file>